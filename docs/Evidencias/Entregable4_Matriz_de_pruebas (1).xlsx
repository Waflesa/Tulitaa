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 de pruebas" sheetId="1" state="visible" r:id="rId3"/>
    <sheet name="Resumen" sheetId="2" state="visible" r:id="rId4"/>
    <sheet name="Requisitos" sheetId="3" state="visible" r:id="rId5"/>
    <sheet name="Defectos y pendientes" sheetId="4" state="visible" r:id="rId6"/>
  </sheets>
  <definedNames>
    <definedName function="false" hidden="true" localSheetId="0" name="_xlnm._FilterDatabase" vbProcedure="false">'Matriz de pruebas'!$A$5:$J$46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<sst xmlns="http://schemas.openxmlformats.org/spreadsheetml/2006/main" count="565" uniqueCount="372">
  <si>
    <t xml:space="preserve">Entregable 4. Evidencia de pruebas - Pulpería Tulita</t>
  </si>
  <si>
    <t xml:space="preserve">Versión probada: v0.1.0 (prototipo Android) | Entorno: emulador Medium_Phone_API_37.0 y teléfono Android | Flutter 3.47.7</t>
  </si>
  <si>
    <t xml:space="preserve">Resultados registrados por el equipo (Fernando, 11/10/2026) a partir de las pruebas ejecutadas. Las celdas AMARILLAS contienen datos que todavía deben completarse (tiempos, medidas). En Evidencia figura el nombre del archivo que debe existir en docs/evidencias/. Estado: Aprobado, Fallido, Pendiente o No aplica.</t>
  </si>
  <si>
    <t xml:space="preserve">ID</t>
  </si>
  <si>
    <t xml:space="preserve">Tipo</t>
  </si>
  <si>
    <t xml:space="preserve">Requisito</t>
  </si>
  <si>
    <t xml:space="preserve">Descripción de la prueba</t>
  </si>
  <si>
    <t xml:space="preserve">Datos utilizados</t>
  </si>
  <si>
    <t xml:space="preserve">Resultado esperado</t>
  </si>
  <si>
    <t xml:space="preserve">Resultado obtenido</t>
  </si>
  <si>
    <t xml:space="preserve">Evidencia</t>
  </si>
  <si>
    <t xml:space="preserve">Estado</t>
  </si>
  <si>
    <t xml:space="preserve">Responsable / fecha</t>
  </si>
  <si>
    <t xml:space="preserve">PRU-01</t>
  </si>
  <si>
    <t xml:space="preserve">Positiva</t>
  </si>
  <si>
    <t xml:space="preserve">RF-01, RF-02, RF-08</t>
  </si>
  <si>
    <t xml:space="preserve">Agregar un producto válido y ver su precio de venta</t>
  </si>
  <si>
    <t xml:space="preserve">Nombre: Aceite 500ml | Categoría: Abarrotes | Costo: 50.00 | Stock: 10</t>
  </si>
  <si>
    <t xml:space="preserve">El producto aparece en la lista con Ganancia (20%) 10,00 C$ y PRECIO DE VENTA 60,00 C$; se muestra '¡Producto guardado!'.</t>
  </si>
  <si>
    <t xml:space="preserve">Aparece Aceite 500ml, stock 10, costo 50,00 C$, ganancia 10,00 C$ y precio de venta 60,00 C$.</t>
  </si>
  <si>
    <t xml:space="preserve">Captura de la lista de inventario (11/10/2026)</t>
  </si>
  <si>
    <t xml:space="preserve">Aprobado</t>
  </si>
  <si>
    <t xml:space="preserve">Fernando, 11/10/2026</t>
  </si>
  <si>
    <t xml:space="preserve">PRU-02</t>
  </si>
  <si>
    <t xml:space="preserve">RF-02, RF-08</t>
  </si>
  <si>
    <t xml:space="preserve">Agregar un segundo producto con decimales</t>
  </si>
  <si>
    <t xml:space="preserve">Nombre: Arroz 1lb | Categoría: Granos básicos | Costo: 18.50 | Stock: 25</t>
  </si>
  <si>
    <t xml:space="preserve">Ganancia 3,70 C$ y precio de venta 22,20 C$.</t>
  </si>
  <si>
    <t xml:space="preserve">Costo 18,50 C$, ganancia 3,70 C$, precio de venta 22,20 C$, stock 25.</t>
  </si>
  <si>
    <t xml:space="preserve">PRU-03</t>
  </si>
  <si>
    <t xml:space="preserve">Agregar un tercer producto de otra categoría</t>
  </si>
  <si>
    <t xml:space="preserve">Nombre: Jabon para lavar platos | Categoría: Limpieza e higiene | Costo: 15.00 | Stock: 50</t>
  </si>
  <si>
    <t xml:space="preserve">Ganancia 3,00 C$ y precio de venta 18,00 C$.</t>
  </si>
  <si>
    <t xml:space="preserve">Costo 15,00 C$, ganancia 3,00 C$, precio de venta 18,00 C$, stock 50.</t>
  </si>
  <si>
    <t xml:space="preserve">Captura de la búsqueda 'Jab' (11/10/2026)</t>
  </si>
  <si>
    <t xml:space="preserve">PRU-04</t>
  </si>
  <si>
    <t xml:space="preserve">RF-02, RNF-02</t>
  </si>
  <si>
    <t xml:space="preserve">Costo escrito con coma decimal</t>
  </si>
  <si>
    <t xml:space="preserve">Costo: 12,50 (con coma) | demás campos válidos</t>
  </si>
  <si>
    <t xml:space="preserve">Se acepta y se interpreta como 12.50; precio de venta 15,00 C$.</t>
  </si>
  <si>
    <t xml:space="preserve">Con 12,50 el producto se guardó y el precio de venta fue 15,00 C$.</t>
  </si>
  <si>
    <t xml:space="preserve">evidencias/PRU-04.png</t>
  </si>
  <si>
    <t xml:space="preserve">PRU-05</t>
  </si>
  <si>
    <t xml:space="preserve">RF-08</t>
  </si>
  <si>
    <t xml:space="preserve">Vista previa del precio mientras se escribe el costo</t>
  </si>
  <si>
    <t xml:space="preserve">Escribir 50 en 'Costo de compra'; luego borrar el campo</t>
  </si>
  <si>
    <t xml:space="preserve">Con 50 muestra 60,00 C$ en 'Precio de venta (+20%)'; con el campo vacío muestra '—'.</t>
  </si>
  <si>
    <t xml:space="preserve">Al escribir 50 se mostró 60,00 C$; con el campo vacío se mostró '—'.</t>
  </si>
  <si>
    <t xml:space="preserve">evidencias/PRU-05.png</t>
  </si>
  <si>
    <t xml:space="preserve">PRU-06</t>
  </si>
  <si>
    <t xml:space="preserve">RNF-01</t>
  </si>
  <si>
    <t xml:space="preserve">Persistencia al cerrar y volver a abrir la app</t>
  </si>
  <si>
    <t xml:space="preserve">Productos ya registrados; cerrar la app por completo y reabrir</t>
  </si>
  <si>
    <t xml:space="preserve">Los productos siguen en la lista con los mismos datos.</t>
  </si>
  <si>
    <t xml:space="preserve">Después de reiniciar la app, el producto Aceite 500ml seguía en la lista.</t>
  </si>
  <si>
    <t xml:space="preserve">Captura de la lista tras reiniciar (11/10/2026)</t>
  </si>
  <si>
    <t xml:space="preserve">PRU-07</t>
  </si>
  <si>
    <t xml:space="preserve">RF-04</t>
  </si>
  <si>
    <t xml:space="preserve">Buscar por nombre</t>
  </si>
  <si>
    <t xml:space="preserve">Texto de búsqueda: Jab</t>
  </si>
  <si>
    <t xml:space="preserve">Solo se muestra 'Jabon para lavar platos'; aparece el botón X para borrar.</t>
  </si>
  <si>
    <t xml:space="preserve">La lista mostró únicamente Jabon para lavar platos y el botón X en el buscador.</t>
  </si>
  <si>
    <t xml:space="preserve">PRU-08</t>
  </si>
  <si>
    <t xml:space="preserve">Buscar por categoría</t>
  </si>
  <si>
    <t xml:space="preserve">Texto de búsqueda: limpieza</t>
  </si>
  <si>
    <t xml:space="preserve">Se muestran los productos de la categoría 'Limpieza e higiene'.</t>
  </si>
  <si>
    <t xml:space="preserve">Con 'limpieza' se mostraron los productos de Limpieza e higiene.</t>
  </si>
  <si>
    <t xml:space="preserve">evidencias/PRU-08.png</t>
  </si>
  <si>
    <t xml:space="preserve">PRU-09</t>
  </si>
  <si>
    <t xml:space="preserve">Búsqueda ignora tildes y mayúsculas</t>
  </si>
  <si>
    <t xml:space="preserve">Producto registrado: Azúcar 1lb | Texto de búsqueda: AZUCAR</t>
  </si>
  <si>
    <t xml:space="preserve">Se encuentra 'Azúcar 1lb'.</t>
  </si>
  <si>
    <t xml:space="preserve">Con 'AZUCAR' se encontró 'Azúcar 1lb'.</t>
  </si>
  <si>
    <t xml:space="preserve">evidencias/PRU-09.png</t>
  </si>
  <si>
    <t xml:space="preserve">PRU-10</t>
  </si>
  <si>
    <t xml:space="preserve">Borrar la búsqueda con el botón X</t>
  </si>
  <si>
    <t xml:space="preserve">Escribir 'ace' y pulsar X</t>
  </si>
  <si>
    <t xml:space="preserve">El campo queda vacío y se muestra la lista completa.</t>
  </si>
  <si>
    <t xml:space="preserve">Con 'ace' se filtró la lista y al tocar la X volvió a mostrarse completa.</t>
  </si>
  <si>
    <t xml:space="preserve">evidencias/PRU-10.png</t>
  </si>
  <si>
    <t xml:space="preserve">PRU-11</t>
  </si>
  <si>
    <t xml:space="preserve">RF-05, RF-08</t>
  </si>
  <si>
    <t xml:space="preserve">Editar el costo de un producto y recalcular el precio</t>
  </si>
  <si>
    <t xml:space="preserve">Jabon para lavar platos: costo 15.00 cambiado a 150.00</t>
  </si>
  <si>
    <t xml:space="preserve">El formulario abre con los datos cargados y título 'Editar producto'; tras guardar, precio de venta 180,00 C$ y mensaje '¡Cambios guardados!'.</t>
  </si>
  <si>
    <t xml:space="preserve">El formulario abrió con los datos cargados; la lista mostró costo 150,00 C$, ganancia 30,00 C$ y precio 180,00 C$.</t>
  </si>
  <si>
    <t xml:space="preserve">Capturas del formulario 'Editar producto' y de la lista (11/10/2026)</t>
  </si>
  <si>
    <t xml:space="preserve">PRU-12</t>
  </si>
  <si>
    <t xml:space="preserve">RF-05</t>
  </si>
  <si>
    <t xml:space="preserve">Editar nombre, categoría y stock</t>
  </si>
  <si>
    <t xml:space="preserve">Arroz 1lb: nombre 'Arroz 2lb', categoría Abarrotes, stock 25 a 30</t>
  </si>
  <si>
    <t xml:space="preserve">La tarjeta muestra los tres valores nuevos y los cambios persisten al reabrir la app.</t>
  </si>
  <si>
    <t xml:space="preserve">La tarjeta mostró nombre, categoría y stock nuevos, y siguieron ahí al cerrar y reabrir la app.</t>
  </si>
  <si>
    <t xml:space="preserve">evidencias/PRU-12.png</t>
  </si>
  <si>
    <t xml:space="preserve">PRU-13</t>
  </si>
  <si>
    <t xml:space="preserve">Cancelar una edición</t>
  </si>
  <si>
    <t xml:space="preserve">Abrir 'Editar producto', cambiar el nombre y pulsar CANCELAR</t>
  </si>
  <si>
    <t xml:space="preserve">Vuelve a la lista y el producto conserva sus datos originales.</t>
  </si>
  <si>
    <t xml:space="preserve">Al pulsar CANCELAR volvió a la lista y el producto no cambió.</t>
  </si>
  <si>
    <t xml:space="preserve">evidencias/PRU-13.png</t>
  </si>
  <si>
    <t xml:space="preserve">PRU-14</t>
  </si>
  <si>
    <t xml:space="preserve">RF-06</t>
  </si>
  <si>
    <t xml:space="preserve">Eliminar un producto con confirmación</t>
  </si>
  <si>
    <t xml:space="preserve">Producto de prueba | papelera, luego botón ELIMINAR</t>
  </si>
  <si>
    <t xml:space="preserve">Aparece '¿Eliminar &lt;nombre&gt;?'; al confirmar, el producto desaparece y se muestra 'Producto eliminado'.</t>
  </si>
  <si>
    <t xml:space="preserve">Apareció '¿Eliminar ...?'; al confirmar, el producto desapareció y se mostró 'Producto eliminado'.</t>
  </si>
  <si>
    <t xml:space="preserve">evidencias/PRU-14.png</t>
  </si>
  <si>
    <t xml:space="preserve">PRU-15</t>
  </si>
  <si>
    <t xml:space="preserve">Cancelar la eliminación</t>
  </si>
  <si>
    <t xml:space="preserve">Producto de prueba | papelera, luego botón CANCELAR</t>
  </si>
  <si>
    <t xml:space="preserve">El diálogo se cierra y el producto sigue en la lista.</t>
  </si>
  <si>
    <t xml:space="preserve">Al pulsar CANCELAR el diálogo se cerró y el producto siguió en la lista.</t>
  </si>
  <si>
    <t xml:space="preserve">evidencias/PRU-15.png</t>
  </si>
  <si>
    <t xml:space="preserve">PRU-16</t>
  </si>
  <si>
    <t xml:space="preserve">RF-07</t>
  </si>
  <si>
    <t xml:space="preserve">Alerta de stock bajo</t>
  </si>
  <si>
    <t xml:space="preserve">Frijoles rojos 1lb, Granos básicos, costo 24.00, stock 4</t>
  </si>
  <si>
    <t xml:space="preserve">Borde naranja y franja '¡POCO STOCK! Quedan 4'.</t>
  </si>
  <si>
    <t xml:space="preserve">Se mostró el borde naranja y '¡POCO STOCK! Quedan 4'.</t>
  </si>
  <si>
    <t xml:space="preserve">evidencias/PRU-16.png (captura de la lista con los 4 productos)</t>
  </si>
  <si>
    <t xml:space="preserve">PRU-17</t>
  </si>
  <si>
    <t xml:space="preserve">Alerta en el límite exacto del umbral</t>
  </si>
  <si>
    <t xml:space="preserve">Detergente en polvo 500g, Limpieza e higiene, costo 32.50, stock 5</t>
  </si>
  <si>
    <t xml:space="preserve">Se muestra la alerta (la regla es stock menor o igual a 5).</t>
  </si>
  <si>
    <t xml:space="preserve">Con stock 5 se mostró la alerta de poco stock.</t>
  </si>
  <si>
    <t xml:space="preserve">evidencias/PRU-16.png (captura de la lista)</t>
  </si>
  <si>
    <t xml:space="preserve">PRU-18</t>
  </si>
  <si>
    <t xml:space="preserve">Sin alerta justo por encima del umbral</t>
  </si>
  <si>
    <t xml:space="preserve">Sal 1lb, Abarrotes, costo 8.00, stock 6</t>
  </si>
  <si>
    <t xml:space="preserve">No se muestra alerta ni borde de color.</t>
  </si>
  <si>
    <t xml:space="preserve">Con stock 6 no se mostró alerta ni borde de color.</t>
  </si>
  <si>
    <t xml:space="preserve">PRU-19</t>
  </si>
  <si>
    <t xml:space="preserve">Producto agotado</t>
  </si>
  <si>
    <t xml:space="preserve">Azúcar 1lb, Abarrotes, costo 16.00, stock 0</t>
  </si>
  <si>
    <t xml:space="preserve">Borde rojo y franja roja con el texto 'AGOTADO'.</t>
  </si>
  <si>
    <t xml:space="preserve">Se mostró el borde rojo y la franja 'AGOTADO'.</t>
  </si>
  <si>
    <t xml:space="preserve">PRU-20</t>
  </si>
  <si>
    <t xml:space="preserve">RF-07, RF-05</t>
  </si>
  <si>
    <t xml:space="preserve">La alerta desaparece al reponer el stock</t>
  </si>
  <si>
    <t xml:space="preserve">Frijoles rojos 1lb: stock 4 cambiado a 20</t>
  </si>
  <si>
    <t xml:space="preserve">Tras guardar, la tarjeta ya no muestra alerta.</t>
  </si>
  <si>
    <t xml:space="preserve">Al subir el stock de 4 a 20, la alerta desapareció.</t>
  </si>
  <si>
    <t xml:space="preserve">evidencias/PRU-20.png</t>
  </si>
  <si>
    <t xml:space="preserve">PRU-21</t>
  </si>
  <si>
    <t xml:space="preserve">RNF-04</t>
  </si>
  <si>
    <t xml:space="preserve">Costo muy grande sin desbordamiento visual (defecto DEF-01)</t>
  </si>
  <si>
    <t xml:space="preserve">Producto con costo 123456.78 y stock 10</t>
  </si>
  <si>
    <t xml:space="preserve">El precio de venta se muestra completo (reduce el tamaño si hace falta); no aparece la franja amarilla y negra 'RIGHT OVERFLOWED'.</t>
  </si>
  <si>
    <t xml:space="preserve">El precio se mostró completo y no apareció la franja de desbordamiento.</t>
  </si>
  <si>
    <t xml:space="preserve">evidencias/PRU-21.png</t>
  </si>
  <si>
    <t xml:space="preserve">PRU-22</t>
  </si>
  <si>
    <t xml:space="preserve">Negativa</t>
  </si>
  <si>
    <t xml:space="preserve">RF-03</t>
  </si>
  <si>
    <t xml:space="preserve">Nombre vacío</t>
  </si>
  <si>
    <t xml:space="preserve">Nombre: (vacío) | demás campos válidos</t>
  </si>
  <si>
    <t xml:space="preserve">No guarda; muestra 'Escriba el nombre del producto'.</t>
  </si>
  <si>
    <t xml:space="preserve">No guardó y mostró 'Escriba el nombre del producto'.</t>
  </si>
  <si>
    <t xml:space="preserve">evidencias/PRU-22.png (captura conjunta de los 4 mensajes)</t>
  </si>
  <si>
    <t xml:space="preserve">PRU-23</t>
  </si>
  <si>
    <t xml:space="preserve">Costo vacío</t>
  </si>
  <si>
    <t xml:space="preserve">Costo: (vacío) | demás campos válidos</t>
  </si>
  <si>
    <t xml:space="preserve">No guarda; muestra 'Escriba el costo con números'.</t>
  </si>
  <si>
    <t xml:space="preserve">No guardó y mostró 'Escriba el costo con números'.</t>
  </si>
  <si>
    <t xml:space="preserve">evidencias/PRU-22.png (captura conjunta)</t>
  </si>
  <si>
    <t xml:space="preserve">PRU-24</t>
  </si>
  <si>
    <t xml:space="preserve">Costo igual a cero</t>
  </si>
  <si>
    <t xml:space="preserve">Costo: 0</t>
  </si>
  <si>
    <t xml:space="preserve">No guarda; muestra 'El costo debe ser mayor que cero'.</t>
  </si>
  <si>
    <t xml:space="preserve">No guardó y mostró 'El costo debe ser mayor que cero'.</t>
  </si>
  <si>
    <t xml:space="preserve">evidencias/PRU-24.png</t>
  </si>
  <si>
    <t xml:space="preserve">PRU-25</t>
  </si>
  <si>
    <t xml:space="preserve">Costo con formato inválido</t>
  </si>
  <si>
    <t xml:space="preserve">Costo: 1.2.3</t>
  </si>
  <si>
    <t xml:space="preserve">evidencias/PRU-25.png</t>
  </si>
  <si>
    <t xml:space="preserve">PRU-26</t>
  </si>
  <si>
    <t xml:space="preserve">Letras en el campo de costo</t>
  </si>
  <si>
    <t xml:space="preserve">Intentar escribir 'abc' en Costo</t>
  </si>
  <si>
    <t xml:space="preserve">El campo no acepta letras (solo dígitos, punto y coma).</t>
  </si>
  <si>
    <t xml:space="preserve">El campo no aceptó letras.</t>
  </si>
  <si>
    <t xml:space="preserve">evidencias/PRU-26.png</t>
  </si>
  <si>
    <t xml:space="preserve">PRU-27</t>
  </si>
  <si>
    <t xml:space="preserve">Categoría sin elegir</t>
  </si>
  <si>
    <t xml:space="preserve">Categoría: (sin seleccionar)</t>
  </si>
  <si>
    <t xml:space="preserve">No guarda; muestra 'Escoja una categoría'.</t>
  </si>
  <si>
    <t xml:space="preserve">No guardó y mostró 'Escoja una categoría'.</t>
  </si>
  <si>
    <t xml:space="preserve">PRU-28</t>
  </si>
  <si>
    <t xml:space="preserve">Cantidad vacía</t>
  </si>
  <si>
    <t xml:space="preserve">Cantidad en stock: (vacía)</t>
  </si>
  <si>
    <t xml:space="preserve">No guarda; muestra 'Escriba la cantidad con números'.</t>
  </si>
  <si>
    <t xml:space="preserve">No guardó y mostró 'Escriba la cantidad con números'.</t>
  </si>
  <si>
    <t xml:space="preserve">PRU-29</t>
  </si>
  <si>
    <t xml:space="preserve">Cantidad con decimal o signo negativo</t>
  </si>
  <si>
    <t xml:space="preserve">Intentar escribir 2.5 o -3 en Cantidad en stock</t>
  </si>
  <si>
    <t xml:space="preserve">El campo solo acepta dígitos; no permite punto ni signo menos.</t>
  </si>
  <si>
    <t xml:space="preserve">El campo solo aceptó dígitos; no permitió punto ni signo menos.</t>
  </si>
  <si>
    <t xml:space="preserve">evidencias/PRU-29.png</t>
  </si>
  <si>
    <t xml:space="preserve">PRU-30</t>
  </si>
  <si>
    <t xml:space="preserve">RF-03, RF-05</t>
  </si>
  <si>
    <t xml:space="preserve">Editar un producto poniendo costo 0</t>
  </si>
  <si>
    <t xml:space="preserve">Editar Aceite 500ml: costo 0</t>
  </si>
  <si>
    <t xml:space="preserve">No guarda; muestra 'El costo debe ser mayor que cero' y el producto no cambia.</t>
  </si>
  <si>
    <t xml:space="preserve">No guardó, mostró 'El costo debe ser mayor que cero' y el producto no cambió.</t>
  </si>
  <si>
    <t xml:space="preserve">evidencias/PRU-30.png</t>
  </si>
  <si>
    <t xml:space="preserve">PRU-31</t>
  </si>
  <si>
    <t xml:space="preserve">Búsqueda sin resultados</t>
  </si>
  <si>
    <t xml:space="preserve">Texto de búsqueda: zzz</t>
  </si>
  <si>
    <t xml:space="preserve">Muestra 'No se encontró ningún producto con ese nombre.'</t>
  </si>
  <si>
    <t xml:space="preserve">Se mostró 'No se encontró ningún producto con ese nombre.'</t>
  </si>
  <si>
    <t xml:space="preserve">evidencias/PRU-31.png</t>
  </si>
  <si>
    <t xml:space="preserve">PRU-32</t>
  </si>
  <si>
    <t xml:space="preserve">Seguridad</t>
  </si>
  <si>
    <t xml:space="preserve">RNF-03</t>
  </si>
  <si>
    <t xml:space="preserve">Texto con comillas y sentencia SQL en el nombre</t>
  </si>
  <si>
    <t xml:space="preserve">Nombre: Arroz'; DROP TABLE productos;--</t>
  </si>
  <si>
    <t xml:space="preserve">Se guarda como texto normal, la lista sigue funcionando y no se pierden datos (consultas parametrizadas en sqflite).</t>
  </si>
  <si>
    <t xml:space="preserve">El nombre se guardó como texto, la lista siguió funcionando y no se perdieron datos.</t>
  </si>
  <si>
    <t xml:space="preserve">evidencias/PRU-32.png</t>
  </si>
  <si>
    <t xml:space="preserve">PRU-33</t>
  </si>
  <si>
    <t xml:space="preserve">Tildes, eñes y símbolos en el nombre</t>
  </si>
  <si>
    <t xml:space="preserve">Nombre: Piña 1lb (oferta) &amp; más</t>
  </si>
  <si>
    <t xml:space="preserve">Se guarda y se muestra exactamente igual, sin errores.</t>
  </si>
  <si>
    <t xml:space="preserve">El nombre se guardó y se mostró igual, con tildes, eñe y símbolos.</t>
  </si>
  <si>
    <t xml:space="preserve">evidencias/PRU-33.png</t>
  </si>
  <si>
    <t xml:space="preserve">PRU-34</t>
  </si>
  <si>
    <t xml:space="preserve">RF-09</t>
  </si>
  <si>
    <t xml:space="preserve">Permisos insuficientes según el rol del usuario</t>
  </si>
  <si>
    <t xml:space="preserve">Ingresar con un usuario sin permisos de edición</t>
  </si>
  <si>
    <t xml:space="preserve">No aplica en esta versión: todavía no existen roles de usuario (ver DEF-06).</t>
  </si>
  <si>
    <t xml:space="preserve">La app no tiene inicio de sesión ni roles.</t>
  </si>
  <si>
    <t xml:space="preserve">Revisión del alcance actual (README, sección 'Estado actual y limitaciones')</t>
  </si>
  <si>
    <t xml:space="preserve">No aplica</t>
  </si>
  <si>
    <t xml:space="preserve">Equipo</t>
  </si>
  <si>
    <t xml:space="preserve">PRU-35</t>
  </si>
  <si>
    <t xml:space="preserve">No hay claves, contraseñas ni tokens en el repositorio</t>
  </si>
  <si>
    <t xml:space="preserve">Comando: git grep -niE "password|passwd|token|api_key|apikey|secret"</t>
  </si>
  <si>
    <t xml:space="preserve">Sin coincidencias que correspondan a credenciales reales.</t>
  </si>
  <si>
    <t xml:space="preserve">evidencias/PRU-35.png (salida del comando)</t>
  </si>
  <si>
    <t xml:space="preserve">PRU-36</t>
  </si>
  <si>
    <t xml:space="preserve">La app no solicita permiso de Internet</t>
  </si>
  <si>
    <t xml:space="preserve">Revisar android/app/src/main/AndroidManifest.xml</t>
  </si>
  <si>
    <t xml:space="preserve">No contiene el permiso android.permission.INTERNET (el manifiesto de depuración sí lo agrega para el hot reload).</t>
  </si>
  <si>
    <t xml:space="preserve">No hay coincidencias de INTERNET en AndroidManifest.xml.</t>
  </si>
  <si>
    <t xml:space="preserve">evidencias/PRU-36.png (búsqueda en el manifiesto)</t>
  </si>
  <si>
    <t xml:space="preserve">PRU-37</t>
  </si>
  <si>
    <t xml:space="preserve">Conectividad</t>
  </si>
  <si>
    <t xml:space="preserve">Uso completo en modo avión</t>
  </si>
  <si>
    <t xml:space="preserve">Activar modo avión (sin WiFi ni datos) y repetir: agregar, buscar, editar y eliminar</t>
  </si>
  <si>
    <t xml:space="preserve">Todas las operaciones funcionan igual que con conexión.</t>
  </si>
  <si>
    <t xml:space="preserve">Con el modo avión activado, agregar, buscar, editar y eliminar funcionaron igual.</t>
  </si>
  <si>
    <t xml:space="preserve">evidencias/PRU-37.png</t>
  </si>
  <si>
    <t xml:space="preserve">PRU-38</t>
  </si>
  <si>
    <t xml:space="preserve">Indisponibilidad de un servicio externo</t>
  </si>
  <si>
    <t xml:space="preserve">Simular caída de un servicio en la nube</t>
  </si>
  <si>
    <t xml:space="preserve">No aplica: la app no usa servicios externos; todo se guarda en SQLite local.</t>
  </si>
  <si>
    <t xml:space="preserve">No existen integraciones con servicios externos en esta versión.</t>
  </si>
  <si>
    <t xml:space="preserve">README, sección 'Arquitectura'</t>
  </si>
  <si>
    <t xml:space="preserve">PRU-39</t>
  </si>
  <si>
    <t xml:space="preserve">Usabilidad</t>
  </si>
  <si>
    <t xml:space="preserve">RNF-02</t>
  </si>
  <si>
    <t xml:space="preserve">Prueba con 3 personas representativas</t>
  </si>
  <si>
    <t xml:space="preserve">3 personas (idealmente adultas mayores o con poca experiencia digital). Tarea: registrar 'Arroz 1lb' sin ayuda. Medir tiempo y errores</t>
  </si>
  <si>
    <t xml:space="preserve">Completan la tarea sin ayuda. Meta propuesta (el equipo debe confirmarla): menos de 2 minutos y como máximo 1 error por persona.</t>
  </si>
  <si>
    <t xml:space="preserve">Las 3 personas completaron la tarea sin ayuda. Tiempos y errores por persona: [completar: persona 1, 2 y 3].</t>
  </si>
  <si>
    <t xml:space="preserve">evidencias/PRU-39.md (notas de las 3 pruebas, sin nombres)</t>
  </si>
  <si>
    <t xml:space="preserve">PRU-40</t>
  </si>
  <si>
    <t xml:space="preserve">Tamaño de los botones</t>
  </si>
  <si>
    <t xml:space="preserve">Revisar lápiz, papelera, AGREGAR PRODUCTO, GUARDAR y CANCELAR con Flutter Inspector o en el código</t>
  </si>
  <si>
    <t xml:space="preserve">Cada botón tiene un área táctil de al menos 48 dp (el proyecto declara este criterio).</t>
  </si>
  <si>
    <t xml:space="preserve">Los botones cumplen el área táctil mínima de 48 dp. Medidas: [completar: lápiz, papelera, AGREGAR, GUARDAR, CANCELAR].</t>
  </si>
  <si>
    <t xml:space="preserve">evidencias/PRU-40.png (medidas en el Inspector)</t>
  </si>
  <si>
    <t xml:space="preserve">PRU-41</t>
  </si>
  <si>
    <t xml:space="preserve">Legibilidad con el tamaño de fuente del sistema al máximo</t>
  </si>
  <si>
    <t xml:space="preserve">Configuración del teléfono: tamaño de fuente en el valor máximo</t>
  </si>
  <si>
    <t xml:space="preserve">No se cortan textos ni aparecen franjas de desbordamiento en la lista ni en el formulario.</t>
  </si>
  <si>
    <t xml:space="preserve">Con la fuente en el máximo no se cortaron textos ni hubo desbordamientos en la lista ni en el formulario.</t>
  </si>
  <si>
    <t xml:space="preserve">evidencias/PRU-41.png</t>
  </si>
  <si>
    <t xml:space="preserve">Resumen de ejecución de pruebas</t>
  </si>
  <si>
    <t xml:space="preserve">Cantidad</t>
  </si>
  <si>
    <t xml:space="preserve">Fallido</t>
  </si>
  <si>
    <t xml:space="preserve">Pendiente</t>
  </si>
  <si>
    <t xml:space="preserve">Total de pruebas</t>
  </si>
  <si>
    <t xml:space="preserve">Pruebas aplicables (sin 'No aplica')</t>
  </si>
  <si>
    <t xml:space="preserve">Pruebas ejecutadas (Aprobado + Fallido)</t>
  </si>
  <si>
    <t xml:space="preserve">Porcentaje ejecutado</t>
  </si>
  <si>
    <t xml:space="preserve">Porcentaje aprobado sobre lo ejecutado</t>
  </si>
  <si>
    <t xml:space="preserve">Tipo de prueba</t>
  </si>
  <si>
    <t xml:space="preserve">Total</t>
  </si>
  <si>
    <t xml:space="preserve">Aprobadas</t>
  </si>
  <si>
    <t xml:space="preserve">Fallidas</t>
  </si>
  <si>
    <t xml:space="preserve">Pendientes</t>
  </si>
  <si>
    <t xml:space="preserve">Notas: (1) 'Aprobado' se registró según lo confirmado por el equipo tras ejecutar cada prueba; cada fila debe tener su evidencia en docs/evidencias/. (2) Los porcentajes se recalculan solos al cambiar el Estado en la hoja 'Matriz de pruebas'. (3) Según la guía de la sesión práctica, no se deben presentar mejoras que no se hayan medido.</t>
  </si>
  <si>
    <t xml:space="preserve">Trazabilidad: requisitos, módulos y pruebas</t>
  </si>
  <si>
    <t xml:space="preserve">Módulos / archivos</t>
  </si>
  <si>
    <t xml:space="preserve">Implementación</t>
  </si>
  <si>
    <t xml:space="preserve">N.º de pruebas</t>
  </si>
  <si>
    <t xml:space="preserve">RF-01</t>
  </si>
  <si>
    <t xml:space="preserve">Listar el inventario con costo, ganancia y precio de venta</t>
  </si>
  <si>
    <t xml:space="preserve">inventario_screen.dart, producto_card.dart</t>
  </si>
  <si>
    <t xml:space="preserve">Implementado</t>
  </si>
  <si>
    <t xml:space="preserve">RF-02</t>
  </si>
  <si>
    <t xml:space="preserve">Agregar un producto (nombre, costo, categoría y stock)</t>
  </si>
  <si>
    <t xml:space="preserve">producto_form_screen.dart, InventarioViewModel.agregarProducto, ProductoRepositoryImpl.insertar</t>
  </si>
  <si>
    <t xml:space="preserve">Validar los datos con mensajes comprensibles</t>
  </si>
  <si>
    <t xml:space="preserve">producto_form_screen.dart (validadores); restricciones CHECK en SQLite (database_helper.dart)</t>
  </si>
  <si>
    <t xml:space="preserve">Buscar productos por nombre o categoría</t>
  </si>
  <si>
    <t xml:space="preserve">inventario_screen.dart</t>
  </si>
  <si>
    <t xml:space="preserve">Editar un producto existente</t>
  </si>
  <si>
    <t xml:space="preserve">producto_form_screen.dart, InventarioViewModel.actualizarProducto, ProductoRepositoryImpl.actualizar</t>
  </si>
  <si>
    <t xml:space="preserve">inventario_screen.dart, InventarioViewModel.eliminarProducto, ProductoRepositoryImpl.eliminar</t>
  </si>
  <si>
    <t xml:space="preserve">Alerta de stock bajo (menor o igual a 5) y de producto agotado</t>
  </si>
  <si>
    <t xml:space="preserve">producto_card.dart, AppConstants.stockBajo</t>
  </si>
  <si>
    <t xml:space="preserve">Precio de venta = costo x 1.20</t>
  </si>
  <si>
    <t xml:space="preserve">PricingService (domain/services)</t>
  </si>
  <si>
    <t xml:space="preserve">Roles de usuario y control de acceso</t>
  </si>
  <si>
    <t xml:space="preserve">(sin módulo todavía)</t>
  </si>
  <si>
    <t xml:space="preserve">No implementado</t>
  </si>
  <si>
    <t xml:space="preserve">RF-10</t>
  </si>
  <si>
    <t xml:space="preserve">Trazabilidad de operaciones (usuario, fecha, acción, resultado)</t>
  </si>
  <si>
    <t xml:space="preserve">Funcionar sin conexión y conservar los datos</t>
  </si>
  <si>
    <t xml:space="preserve">DatabaseHelper (SQLite local)</t>
  </si>
  <si>
    <t xml:space="preserve">Usabilidad para una persona adulta mayor (letra grande, botones de 48 dp o más)</t>
  </si>
  <si>
    <t xml:space="preserve">Capa presentation</t>
  </si>
  <si>
    <t xml:space="preserve">Implementado y verificado</t>
  </si>
  <si>
    <t xml:space="preserve">Seguridad básica de los datos y del repositorio</t>
  </si>
  <si>
    <t xml:space="preserve">Capa data (consultas parametrizadas), repositorio de Git</t>
  </si>
  <si>
    <t xml:space="preserve">La interfaz no se desborda con valores grandes</t>
  </si>
  <si>
    <t xml:space="preserve">producto_card.dart</t>
  </si>
  <si>
    <t xml:space="preserve">Corregido y verificado</t>
  </si>
  <si>
    <t xml:space="preserve">Nota: el conteo busca el ID del requisito dentro de la columna 'Requisito' de la matriz; una prueba que cubre varios requisitos se cuenta en cada uno.</t>
  </si>
  <si>
    <t xml:space="preserve">Defectos, decisiones de corrección y trabajo pendiente</t>
  </si>
  <si>
    <t xml:space="preserve">Descripción</t>
  </si>
  <si>
    <t xml:space="preserve">Cómo se detectó</t>
  </si>
  <si>
    <t xml:space="preserve">Severidad</t>
  </si>
  <si>
    <t xml:space="preserve">Decisión de corrección</t>
  </si>
  <si>
    <t xml:space="preserve">DEF-01</t>
  </si>
  <si>
    <t xml:space="preserve">Desbordamiento de 3,4 px en la caja 'PRECIO DE VENTA' con un precio de 180,00 C$.</t>
  </si>
  <si>
    <t xml:space="preserve">Emulador, 11/10/2026 (franja amarilla y negra)</t>
  </si>
  <si>
    <t xml:space="preserve">Media</t>
  </si>
  <si>
    <t xml:space="preserve">Se envolvió el precio en Expanded + FittedBox (scaleDown) en producto_card.dart.</t>
  </si>
  <si>
    <t xml:space="preserve">Corregido y verificado (PRU-21 y PRU-41)</t>
  </si>
  <si>
    <t xml:space="preserve">DEF-02</t>
  </si>
  <si>
    <t xml:space="preserve">Al editar, el costo se muestra como 150.0 en lugar de 150.00.</t>
  </si>
  <si>
    <t xml:space="preserve">Emulador, 11/10/2026</t>
  </si>
  <si>
    <t xml:space="preserve">Baja</t>
  </si>
  <si>
    <t xml:space="preserve">Usar toStringAsFixed(2) al cargar el costo en initState de producto_form_screen.dart.</t>
  </si>
  <si>
    <t xml:space="preserve">DEF-03</t>
  </si>
  <si>
    <t xml:space="preserve">La prueba test/widget_test.dart falla: busca una clase MyApp que no existe.</t>
  </si>
  <si>
    <t xml:space="preserve">VS Code, pestaña Problemas</t>
  </si>
  <si>
    <t xml:space="preserve">Baja (no afecta la app)</t>
  </si>
  <si>
    <t xml:space="preserve">Borrar el archivo o reemplazarlo por pruebas reales del proyecto.</t>
  </si>
  <si>
    <t xml:space="preserve">DEF-04</t>
  </si>
  <si>
    <t xml:space="preserve">Aviso de API obsoleta: 'value' en DropdownButtonFormField (usar initialValue).</t>
  </si>
  <si>
    <t xml:space="preserve">Muy baja</t>
  </si>
  <si>
    <t xml:space="preserve">Cambiar value por initialValue en producto_form_screen.dart.</t>
  </si>
  <si>
    <t xml:space="preserve">DEF-05</t>
  </si>
  <si>
    <t xml:space="preserve">El negocio aparece como 'Tulita' en la app y como 'Nachita' en parte del documento del proyecto.</t>
  </si>
  <si>
    <t xml:space="preserve">Revisión de documentos y de la app</t>
  </si>
  <si>
    <t xml:space="preserve">Media (consistencia)</t>
  </si>
  <si>
    <t xml:space="preserve">El equipo debe elegir un solo nombre y corregirlo en AppConstants.appName, README y documento.</t>
  </si>
  <si>
    <t xml:space="preserve">Pendiente de decisión</t>
  </si>
  <si>
    <t xml:space="preserve">DEF-06</t>
  </si>
  <si>
    <t xml:space="preserve">No existen roles de usuario ni control de acceso (la guía exige al menos dos roles).</t>
  </si>
  <si>
    <t xml:space="preserve">Revisión contra la guía de la sesión práctica</t>
  </si>
  <si>
    <t xml:space="preserve">Alta (requisito)</t>
  </si>
  <si>
    <t xml:space="preserve">Diseñar e implementar inicio de sesión con roles (por ejemplo, administradora y supervisor).</t>
  </si>
  <si>
    <t xml:space="preserve">DEF-07</t>
  </si>
  <si>
    <t xml:space="preserve">No se registra la trazabilidad de operaciones (usuario, fecha, acción, resultado).</t>
  </si>
  <si>
    <t xml:space="preserve">Agregar una tabla de eventos en SQLite y registrar agregar, editar y eliminar.</t>
  </si>
  <si>
    <t xml:space="preserve">DEF-08</t>
  </si>
  <si>
    <t xml:space="preserve">No hay pruebas automatizadas del proyecto.</t>
  </si>
  <si>
    <t xml:space="preserve">Revisión del repositorio</t>
  </si>
  <si>
    <t xml:space="preserve">Escribir pruebas unitarias de PricingService y del ViewModel.</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</si>
</sst>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2E5E2E"/>
        <bgColor rgb="FF555555"/>
      </patternFill>
    </fill>
    <fill>
      <patternFill patternType="solid">
        <fgColor rgb="FFFFF59D"/>
        <bgColor rgb="FFFFF9C4"/>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5E2E"/>
          <bgColor rgb="FF000000"/>
        </patternFill>
      </fill>
    </dxf>
    <dxf>
      <fill>
        <patternFill patternType="solid">
          <bgColor rgb="FF000000"/>
        </patternFill>
      </fill>
    </dxf>
    <dxf>
      <fill>
        <patternFill patternType="solid">
          <fgColor rgb="FFFFFFFF"/>
          <bgColor rgb="FF000000"/>
        </patternFill>
      </fill>
    </dxf>
    <dxf>
      <fill>
        <patternFill patternType="solid">
          <fgColor rgb="FFFFF59D"/>
          <bgColor rgb="FF000000"/>
        </patternFill>
      </fill>
    </dxf>
    <dxf>
      <fill>
        <patternFill patternType="solid">
          <fgColor rgb="FFC8E6C9"/>
          <bgColor rgb="FF000000"/>
        </patternFill>
      </fill>
    </dxf>
    <dxf>
      <fill>
        <patternFill patternType="solid">
          <fgColor rgb="FFE0E0E0"/>
          <bgColor rgb="FF000000"/>
        </patternFill>
      </fill>
    </dxf>
    <dxf>
      <fill>
        <patternFill>
          <bgColor rgb="FFC8E6C9"/>
        </patternFill>
      </fill>
    </dxf>
    <dxf>
      <fill>
        <patternFill>
          <bgColor rgb="FFFFCDD2"/>
        </patternFill>
      </fill>
    </dxf>
    <dxf>
      <fill>
        <patternFill>
          <bgColor rgb="FFFFF9C4"/>
        </patternFill>
      </fill>
    </dxf>
    <dxf>
      <fill>
        <patternFill>
          <bgColor rgb="FFE0E0E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8E6C9"/>
      <rgbColor rgb="FFFFF59D"/>
      <rgbColor rgb="FF99CCFF"/>
      <rgbColor rgb="FFFF99CC"/>
      <rgbColor rgb="FFCC99FF"/>
      <rgbColor rgb="FFFFCDD2"/>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E5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4"/>
    <col collapsed="false" customWidth="true" hidden="false" outlineLevel="0" max="4" min="4" style="0" width="38"/>
    <col collapsed="false" customWidth="true" hidden="false" outlineLevel="0" max="5" min="5" style="0" width="40"/>
    <col collapsed="false" customWidth="true" hidden="false" outlineLevel="0" max="6" min="6" style="0" width="48"/>
    <col collapsed="false" customWidth="true" hidden="false" outlineLevel="0" max="7" min="7" style="0" width="40"/>
    <col collapsed="false" customWidth="true" hidden="false" outlineLevel="0" max="8" min="8" style="0" width="30"/>
    <col collapsed="false" customWidth="true" hidden="false" outlineLevel="0" max="9" min="9" style="0" width="12"/>
    <col collapsed="false" customWidth="true" hidden="false" outlineLevel="0" max="10" min="10" style="0" width="20"/>
  </cols>
  <sheetData>
    <row r="1" customFormat="false" ht="17.35" hidden="false" customHeight="false" outlineLevel="0" collapsed="false">
      <c r="A1" s="1" t="s">
        <v>0</v>
      </c>
    </row>
    <row r="2" customFormat="false" ht="15" hidden="false" customHeight="false" outlineLevel="0" collapsed="false">
      <c r="A2" s="2" t="s">
        <v>1</v>
      </c>
    </row>
    <row r="3" customFormat="false" ht="39.75" hidden="false" customHeight="true" outlineLevel="0" collapsed="false">
      <c r="A3" s="3" t="s">
        <v>2</v>
      </c>
      <c r="B3" s="3"/>
      <c r="C3" s="3"/>
      <c r="D3" s="3"/>
      <c r="E3" s="3"/>
      <c r="F3" s="3"/>
      <c r="G3" s="3"/>
      <c r="H3" s="3"/>
      <c r="I3" s="3"/>
      <c r="J3" s="3"/>
    </row>
    <row r="5" customFormat="false" ht="15" hidden="false" customHeight="false" outlineLevel="0" collapsed="false">
      <c r="A5" s="4" t="s">
        <v>3</v>
      </c>
      <c r="B5" s="4" t="s">
        <v>4</v>
      </c>
      <c r="C5" s="4" t="s">
        <v>5</v>
      </c>
      <c r="D5" s="4" t="s">
        <v>6</v>
      </c>
      <c r="E5" s="4" t="s">
        <v>7</v>
      </c>
      <c r="F5" s="4" t="s">
        <v>8</v>
      </c>
      <c r="G5" s="4" t="s">
        <v>9</v>
      </c>
      <c r="H5" s="4" t="s">
        <v>10</v>
      </c>
      <c r="I5" s="4" t="s">
        <v>11</v>
      </c>
      <c r="J5" s="4" t="s">
        <v>12</v>
      </c>
    </row>
    <row r="6" customFormat="false" ht="35.05" hidden="false" customHeight="false" outlineLevel="0" collapsed="false">
      <c r="A6" s="5" t="s">
        <v>13</v>
      </c>
      <c r="B6" s="5" t="s">
        <v>14</v>
      </c>
      <c r="C6" s="5" t="s">
        <v>15</v>
      </c>
      <c r="D6" s="6" t="s">
        <v>16</v>
      </c>
      <c r="E6" s="6" t="s">
        <v>17</v>
      </c>
      <c r="F6" s="6" t="s">
        <v>18</v>
      </c>
      <c r="G6" s="6" t="s">
        <v>19</v>
      </c>
      <c r="H6" s="6" t="s">
        <v>20</v>
      </c>
      <c r="I6" s="5" t="s">
        <v>21</v>
      </c>
      <c r="J6" s="6" t="s">
        <v>22</v>
      </c>
    </row>
    <row r="7" customFormat="false" ht="23.85" hidden="false" customHeight="false" outlineLevel="0" collapsed="false">
      <c r="A7" s="5" t="s">
        <v>23</v>
      </c>
      <c r="B7" s="5" t="s">
        <v>14</v>
      </c>
      <c r="C7" s="5" t="s">
        <v>24</v>
      </c>
      <c r="D7" s="6" t="s">
        <v>25</v>
      </c>
      <c r="E7" s="6" t="s">
        <v>26</v>
      </c>
      <c r="F7" s="6" t="s">
        <v>27</v>
      </c>
      <c r="G7" s="6" t="s">
        <v>28</v>
      </c>
      <c r="H7" s="6" t="s">
        <v>20</v>
      </c>
      <c r="I7" s="5" t="s">
        <v>21</v>
      </c>
      <c r="J7" s="6" t="s">
        <v>22</v>
      </c>
    </row>
    <row r="8" customFormat="false" ht="23.85" hidden="false" customHeight="false" outlineLevel="0" collapsed="false">
      <c r="A8" s="5" t="s">
        <v>29</v>
      </c>
      <c r="B8" s="5" t="s">
        <v>14</v>
      </c>
      <c r="C8" s="5" t="s">
        <v>24</v>
      </c>
      <c r="D8" s="6" t="s">
        <v>30</v>
      </c>
      <c r="E8" s="6" t="s">
        <v>31</v>
      </c>
      <c r="F8" s="6" t="s">
        <v>32</v>
      </c>
      <c r="G8" s="6" t="s">
        <v>33</v>
      </c>
      <c r="H8" s="6" t="s">
        <v>34</v>
      </c>
      <c r="I8" s="5" t="s">
        <v>21</v>
      </c>
      <c r="J8" s="6" t="s">
        <v>22</v>
      </c>
    </row>
    <row r="9" customFormat="false" ht="23.85" hidden="false" customHeight="false" outlineLevel="0" collapsed="false">
      <c r="A9" s="5" t="s">
        <v>35</v>
      </c>
      <c r="B9" s="5" t="s">
        <v>14</v>
      </c>
      <c r="C9" s="5" t="s">
        <v>36</v>
      </c>
      <c r="D9" s="6" t="s">
        <v>37</v>
      </c>
      <c r="E9" s="6" t="s">
        <v>38</v>
      </c>
      <c r="F9" s="6" t="s">
        <v>39</v>
      </c>
      <c r="G9" s="6" t="s">
        <v>40</v>
      </c>
      <c r="H9" s="6" t="s">
        <v>41</v>
      </c>
      <c r="I9" s="5" t="s">
        <v>21</v>
      </c>
      <c r="J9" s="6" t="s">
        <v>22</v>
      </c>
    </row>
    <row r="10" customFormat="false" ht="23.85" hidden="false" customHeight="false" outlineLevel="0" collapsed="false">
      <c r="A10" s="5" t="s">
        <v>42</v>
      </c>
      <c r="B10" s="5" t="s">
        <v>14</v>
      </c>
      <c r="C10" s="5" t="s">
        <v>43</v>
      </c>
      <c r="D10" s="6" t="s">
        <v>44</v>
      </c>
      <c r="E10" s="6" t="s">
        <v>45</v>
      </c>
      <c r="F10" s="6" t="s">
        <v>46</v>
      </c>
      <c r="G10" s="6" t="s">
        <v>47</v>
      </c>
      <c r="H10" s="6" t="s">
        <v>48</v>
      </c>
      <c r="I10" s="5" t="s">
        <v>21</v>
      </c>
      <c r="J10" s="6" t="s">
        <v>22</v>
      </c>
    </row>
    <row r="11" customFormat="false" ht="23.85" hidden="false" customHeight="false" outlineLevel="0" collapsed="false">
      <c r="A11" s="5" t="s">
        <v>49</v>
      </c>
      <c r="B11" s="5" t="s">
        <v>14</v>
      </c>
      <c r="C11" s="5" t="s">
        <v>50</v>
      </c>
      <c r="D11" s="6" t="s">
        <v>51</v>
      </c>
      <c r="E11" s="6" t="s">
        <v>52</v>
      </c>
      <c r="F11" s="6" t="s">
        <v>53</v>
      </c>
      <c r="G11" s="6" t="s">
        <v>54</v>
      </c>
      <c r="H11" s="6" t="s">
        <v>55</v>
      </c>
      <c r="I11" s="5" t="s">
        <v>21</v>
      </c>
      <c r="J11" s="6" t="s">
        <v>22</v>
      </c>
    </row>
    <row r="12" customFormat="false" ht="23.85" hidden="false" customHeight="false" outlineLevel="0" collapsed="false">
      <c r="A12" s="5" t="s">
        <v>56</v>
      </c>
      <c r="B12" s="5" t="s">
        <v>14</v>
      </c>
      <c r="C12" s="5" t="s">
        <v>57</v>
      </c>
      <c r="D12" s="6" t="s">
        <v>58</v>
      </c>
      <c r="E12" s="6" t="s">
        <v>59</v>
      </c>
      <c r="F12" s="6" t="s">
        <v>60</v>
      </c>
      <c r="G12" s="6" t="s">
        <v>61</v>
      </c>
      <c r="H12" s="6" t="s">
        <v>34</v>
      </c>
      <c r="I12" s="5" t="s">
        <v>21</v>
      </c>
      <c r="J12" s="6" t="s">
        <v>22</v>
      </c>
    </row>
    <row r="13" customFormat="false" ht="23.85" hidden="false" customHeight="false" outlineLevel="0" collapsed="false">
      <c r="A13" s="5" t="s">
        <v>62</v>
      </c>
      <c r="B13" s="5" t="s">
        <v>14</v>
      </c>
      <c r="C13" s="5" t="s">
        <v>57</v>
      </c>
      <c r="D13" s="6" t="s">
        <v>63</v>
      </c>
      <c r="E13" s="6" t="s">
        <v>64</v>
      </c>
      <c r="F13" s="6" t="s">
        <v>65</v>
      </c>
      <c r="G13" s="6" t="s">
        <v>66</v>
      </c>
      <c r="H13" s="6" t="s">
        <v>67</v>
      </c>
      <c r="I13" s="5" t="s">
        <v>21</v>
      </c>
      <c r="J13" s="6" t="s">
        <v>22</v>
      </c>
    </row>
    <row r="14" customFormat="false" ht="23.85" hidden="false" customHeight="false" outlineLevel="0" collapsed="false">
      <c r="A14" s="5" t="s">
        <v>68</v>
      </c>
      <c r="B14" s="5" t="s">
        <v>14</v>
      </c>
      <c r="C14" s="5" t="s">
        <v>57</v>
      </c>
      <c r="D14" s="6" t="s">
        <v>69</v>
      </c>
      <c r="E14" s="6" t="s">
        <v>70</v>
      </c>
      <c r="F14" s="6" t="s">
        <v>71</v>
      </c>
      <c r="G14" s="6" t="s">
        <v>72</v>
      </c>
      <c r="H14" s="6" t="s">
        <v>73</v>
      </c>
      <c r="I14" s="5" t="s">
        <v>21</v>
      </c>
      <c r="J14" s="6" t="s">
        <v>22</v>
      </c>
    </row>
    <row r="15" customFormat="false" ht="23.85" hidden="false" customHeight="false" outlineLevel="0" collapsed="false">
      <c r="A15" s="5" t="s">
        <v>74</v>
      </c>
      <c r="B15" s="5" t="s">
        <v>14</v>
      </c>
      <c r="C15" s="5" t="s">
        <v>57</v>
      </c>
      <c r="D15" s="6" t="s">
        <v>75</v>
      </c>
      <c r="E15" s="6" t="s">
        <v>76</v>
      </c>
      <c r="F15" s="6" t="s">
        <v>77</v>
      </c>
      <c r="G15" s="6" t="s">
        <v>78</v>
      </c>
      <c r="H15" s="6" t="s">
        <v>79</v>
      </c>
      <c r="I15" s="5" t="s">
        <v>21</v>
      </c>
      <c r="J15" s="6" t="s">
        <v>22</v>
      </c>
    </row>
    <row r="16" customFormat="false" ht="35.05" hidden="false" customHeight="false" outlineLevel="0" collapsed="false">
      <c r="A16" s="5" t="s">
        <v>80</v>
      </c>
      <c r="B16" s="5" t="s">
        <v>14</v>
      </c>
      <c r="C16" s="5" t="s">
        <v>81</v>
      </c>
      <c r="D16" s="6" t="s">
        <v>82</v>
      </c>
      <c r="E16" s="6" t="s">
        <v>83</v>
      </c>
      <c r="F16" s="6" t="s">
        <v>84</v>
      </c>
      <c r="G16" s="6" t="s">
        <v>85</v>
      </c>
      <c r="H16" s="6" t="s">
        <v>86</v>
      </c>
      <c r="I16" s="5" t="s">
        <v>21</v>
      </c>
      <c r="J16" s="6" t="s">
        <v>22</v>
      </c>
    </row>
    <row r="17" customFormat="false" ht="23.85" hidden="false" customHeight="false" outlineLevel="0" collapsed="false">
      <c r="A17" s="5" t="s">
        <v>87</v>
      </c>
      <c r="B17" s="5" t="s">
        <v>14</v>
      </c>
      <c r="C17" s="5" t="s">
        <v>88</v>
      </c>
      <c r="D17" s="6" t="s">
        <v>89</v>
      </c>
      <c r="E17" s="6" t="s">
        <v>90</v>
      </c>
      <c r="F17" s="6" t="s">
        <v>91</v>
      </c>
      <c r="G17" s="6" t="s">
        <v>92</v>
      </c>
      <c r="H17" s="6" t="s">
        <v>93</v>
      </c>
      <c r="I17" s="5" t="s">
        <v>21</v>
      </c>
      <c r="J17" s="6" t="s">
        <v>22</v>
      </c>
    </row>
    <row r="18" customFormat="false" ht="23.85" hidden="false" customHeight="false" outlineLevel="0" collapsed="false">
      <c r="A18" s="5" t="s">
        <v>94</v>
      </c>
      <c r="B18" s="5" t="s">
        <v>14</v>
      </c>
      <c r="C18" s="5" t="s">
        <v>88</v>
      </c>
      <c r="D18" s="6" t="s">
        <v>95</v>
      </c>
      <c r="E18" s="6" t="s">
        <v>96</v>
      </c>
      <c r="F18" s="6" t="s">
        <v>97</v>
      </c>
      <c r="G18" s="6" t="s">
        <v>98</v>
      </c>
      <c r="H18" s="6" t="s">
        <v>99</v>
      </c>
      <c r="I18" s="5" t="s">
        <v>21</v>
      </c>
      <c r="J18" s="6" t="s">
        <v>22</v>
      </c>
    </row>
    <row r="19" customFormat="false" ht="23.85" hidden="false" customHeight="false" outlineLevel="0" collapsed="false">
      <c r="A19" s="5" t="s">
        <v>100</v>
      </c>
      <c r="B19" s="5" t="s">
        <v>14</v>
      </c>
      <c r="C19" s="5" t="s">
        <v>101</v>
      </c>
      <c r="D19" s="6" t="s">
        <v>102</v>
      </c>
      <c r="E19" s="6" t="s">
        <v>103</v>
      </c>
      <c r="F19" s="6" t="s">
        <v>104</v>
      </c>
      <c r="G19" s="6" t="s">
        <v>105</v>
      </c>
      <c r="H19" s="6" t="s">
        <v>106</v>
      </c>
      <c r="I19" s="5" t="s">
        <v>21</v>
      </c>
      <c r="J19" s="6" t="s">
        <v>22</v>
      </c>
    </row>
    <row r="20" customFormat="false" ht="23.85" hidden="false" customHeight="false" outlineLevel="0" collapsed="false">
      <c r="A20" s="5" t="s">
        <v>107</v>
      </c>
      <c r="B20" s="5" t="s">
        <v>14</v>
      </c>
      <c r="C20" s="5" t="s">
        <v>101</v>
      </c>
      <c r="D20" s="6" t="s">
        <v>108</v>
      </c>
      <c r="E20" s="6" t="s">
        <v>109</v>
      </c>
      <c r="F20" s="6" t="s">
        <v>110</v>
      </c>
      <c r="G20" s="6" t="s">
        <v>111</v>
      </c>
      <c r="H20" s="6" t="s">
        <v>112</v>
      </c>
      <c r="I20" s="5" t="s">
        <v>21</v>
      </c>
      <c r="J20" s="6" t="s">
        <v>22</v>
      </c>
    </row>
    <row r="21" customFormat="false" ht="23.85" hidden="false" customHeight="false" outlineLevel="0" collapsed="false">
      <c r="A21" s="5" t="s">
        <v>113</v>
      </c>
      <c r="B21" s="5" t="s">
        <v>14</v>
      </c>
      <c r="C21" s="5" t="s">
        <v>114</v>
      </c>
      <c r="D21" s="6" t="s">
        <v>115</v>
      </c>
      <c r="E21" s="6" t="s">
        <v>116</v>
      </c>
      <c r="F21" s="6" t="s">
        <v>117</v>
      </c>
      <c r="G21" s="6" t="s">
        <v>118</v>
      </c>
      <c r="H21" s="6" t="s">
        <v>119</v>
      </c>
      <c r="I21" s="5" t="s">
        <v>21</v>
      </c>
      <c r="J21" s="6" t="s">
        <v>22</v>
      </c>
    </row>
    <row r="22" customFormat="false" ht="23.85" hidden="false" customHeight="false" outlineLevel="0" collapsed="false">
      <c r="A22" s="5" t="s">
        <v>120</v>
      </c>
      <c r="B22" s="5" t="s">
        <v>14</v>
      </c>
      <c r="C22" s="5" t="s">
        <v>114</v>
      </c>
      <c r="D22" s="6" t="s">
        <v>121</v>
      </c>
      <c r="E22" s="6" t="s">
        <v>122</v>
      </c>
      <c r="F22" s="6" t="s">
        <v>123</v>
      </c>
      <c r="G22" s="6" t="s">
        <v>124</v>
      </c>
      <c r="H22" s="6" t="s">
        <v>125</v>
      </c>
      <c r="I22" s="5" t="s">
        <v>21</v>
      </c>
      <c r="J22" s="6" t="s">
        <v>22</v>
      </c>
    </row>
    <row r="23" customFormat="false" ht="23.85" hidden="false" customHeight="false" outlineLevel="0" collapsed="false">
      <c r="A23" s="5" t="s">
        <v>126</v>
      </c>
      <c r="B23" s="5" t="s">
        <v>14</v>
      </c>
      <c r="C23" s="5" t="s">
        <v>114</v>
      </c>
      <c r="D23" s="6" t="s">
        <v>127</v>
      </c>
      <c r="E23" s="6" t="s">
        <v>128</v>
      </c>
      <c r="F23" s="6" t="s">
        <v>129</v>
      </c>
      <c r="G23" s="6" t="s">
        <v>130</v>
      </c>
      <c r="H23" s="6" t="s">
        <v>125</v>
      </c>
      <c r="I23" s="5" t="s">
        <v>21</v>
      </c>
      <c r="J23" s="6" t="s">
        <v>22</v>
      </c>
    </row>
    <row r="24" customFormat="false" ht="23.85" hidden="false" customHeight="false" outlineLevel="0" collapsed="false">
      <c r="A24" s="5" t="s">
        <v>131</v>
      </c>
      <c r="B24" s="5" t="s">
        <v>14</v>
      </c>
      <c r="C24" s="5" t="s">
        <v>114</v>
      </c>
      <c r="D24" s="6" t="s">
        <v>132</v>
      </c>
      <c r="E24" s="6" t="s">
        <v>133</v>
      </c>
      <c r="F24" s="6" t="s">
        <v>134</v>
      </c>
      <c r="G24" s="6" t="s">
        <v>135</v>
      </c>
      <c r="H24" s="6" t="s">
        <v>125</v>
      </c>
      <c r="I24" s="5" t="s">
        <v>21</v>
      </c>
      <c r="J24" s="6" t="s">
        <v>22</v>
      </c>
    </row>
    <row r="25" customFormat="false" ht="15" hidden="false" customHeight="false" outlineLevel="0" collapsed="false">
      <c r="A25" s="5" t="s">
        <v>136</v>
      </c>
      <c r="B25" s="5" t="s">
        <v>14</v>
      </c>
      <c r="C25" s="5" t="s">
        <v>137</v>
      </c>
      <c r="D25" s="6" t="s">
        <v>138</v>
      </c>
      <c r="E25" s="6" t="s">
        <v>139</v>
      </c>
      <c r="F25" s="6" t="s">
        <v>140</v>
      </c>
      <c r="G25" s="6" t="s">
        <v>141</v>
      </c>
      <c r="H25" s="6" t="s">
        <v>142</v>
      </c>
      <c r="I25" s="5" t="s">
        <v>21</v>
      </c>
      <c r="J25" s="6" t="s">
        <v>22</v>
      </c>
    </row>
    <row r="26" customFormat="false" ht="35.05" hidden="false" customHeight="false" outlineLevel="0" collapsed="false">
      <c r="A26" s="5" t="s">
        <v>143</v>
      </c>
      <c r="B26" s="5" t="s">
        <v>14</v>
      </c>
      <c r="C26" s="5" t="s">
        <v>144</v>
      </c>
      <c r="D26" s="6" t="s">
        <v>145</v>
      </c>
      <c r="E26" s="6" t="s">
        <v>146</v>
      </c>
      <c r="F26" s="6" t="s">
        <v>147</v>
      </c>
      <c r="G26" s="6" t="s">
        <v>148</v>
      </c>
      <c r="H26" s="6" t="s">
        <v>149</v>
      </c>
      <c r="I26" s="5" t="s">
        <v>21</v>
      </c>
      <c r="J26" s="6" t="s">
        <v>22</v>
      </c>
    </row>
    <row r="27" customFormat="false" ht="23.85" hidden="false" customHeight="false" outlineLevel="0" collapsed="false">
      <c r="A27" s="5" t="s">
        <v>150</v>
      </c>
      <c r="B27" s="5" t="s">
        <v>151</v>
      </c>
      <c r="C27" s="5" t="s">
        <v>152</v>
      </c>
      <c r="D27" s="6" t="s">
        <v>153</v>
      </c>
      <c r="E27" s="6" t="s">
        <v>154</v>
      </c>
      <c r="F27" s="6" t="s">
        <v>155</v>
      </c>
      <c r="G27" s="6" t="s">
        <v>156</v>
      </c>
      <c r="H27" s="6" t="s">
        <v>157</v>
      </c>
      <c r="I27" s="5" t="s">
        <v>21</v>
      </c>
      <c r="J27" s="6" t="s">
        <v>22</v>
      </c>
    </row>
    <row r="28" customFormat="false" ht="23.85" hidden="false" customHeight="false" outlineLevel="0" collapsed="false">
      <c r="A28" s="5" t="s">
        <v>158</v>
      </c>
      <c r="B28" s="5" t="s">
        <v>151</v>
      </c>
      <c r="C28" s="5" t="s">
        <v>152</v>
      </c>
      <c r="D28" s="6" t="s">
        <v>159</v>
      </c>
      <c r="E28" s="6" t="s">
        <v>160</v>
      </c>
      <c r="F28" s="6" t="s">
        <v>161</v>
      </c>
      <c r="G28" s="6" t="s">
        <v>162</v>
      </c>
      <c r="H28" s="6" t="s">
        <v>163</v>
      </c>
      <c r="I28" s="5" t="s">
        <v>21</v>
      </c>
      <c r="J28" s="6" t="s">
        <v>22</v>
      </c>
    </row>
    <row r="29" customFormat="false" ht="23.85" hidden="false" customHeight="false" outlineLevel="0" collapsed="false">
      <c r="A29" s="5" t="s">
        <v>164</v>
      </c>
      <c r="B29" s="5" t="s">
        <v>151</v>
      </c>
      <c r="C29" s="5" t="s">
        <v>152</v>
      </c>
      <c r="D29" s="6" t="s">
        <v>165</v>
      </c>
      <c r="E29" s="6" t="s">
        <v>166</v>
      </c>
      <c r="F29" s="6" t="s">
        <v>167</v>
      </c>
      <c r="G29" s="6" t="s">
        <v>168</v>
      </c>
      <c r="H29" s="6" t="s">
        <v>169</v>
      </c>
      <c r="I29" s="5" t="s">
        <v>21</v>
      </c>
      <c r="J29" s="6" t="s">
        <v>22</v>
      </c>
    </row>
    <row r="30" customFormat="false" ht="23.85" hidden="false" customHeight="false" outlineLevel="0" collapsed="false">
      <c r="A30" s="5" t="s">
        <v>170</v>
      </c>
      <c r="B30" s="5" t="s">
        <v>151</v>
      </c>
      <c r="C30" s="5" t="s">
        <v>152</v>
      </c>
      <c r="D30" s="6" t="s">
        <v>171</v>
      </c>
      <c r="E30" s="6" t="s">
        <v>172</v>
      </c>
      <c r="F30" s="6" t="s">
        <v>161</v>
      </c>
      <c r="G30" s="6" t="s">
        <v>162</v>
      </c>
      <c r="H30" s="6" t="s">
        <v>173</v>
      </c>
      <c r="I30" s="5" t="s">
        <v>21</v>
      </c>
      <c r="J30" s="6" t="s">
        <v>22</v>
      </c>
    </row>
    <row r="31" customFormat="false" ht="15" hidden="false" customHeight="false" outlineLevel="0" collapsed="false">
      <c r="A31" s="5" t="s">
        <v>174</v>
      </c>
      <c r="B31" s="5" t="s">
        <v>151</v>
      </c>
      <c r="C31" s="5" t="s">
        <v>152</v>
      </c>
      <c r="D31" s="6" t="s">
        <v>175</v>
      </c>
      <c r="E31" s="6" t="s">
        <v>176</v>
      </c>
      <c r="F31" s="6" t="s">
        <v>177</v>
      </c>
      <c r="G31" s="6" t="s">
        <v>178</v>
      </c>
      <c r="H31" s="6" t="s">
        <v>179</v>
      </c>
      <c r="I31" s="5" t="s">
        <v>21</v>
      </c>
      <c r="J31" s="6" t="s">
        <v>22</v>
      </c>
    </row>
    <row r="32" customFormat="false" ht="23.85" hidden="false" customHeight="false" outlineLevel="0" collapsed="false">
      <c r="A32" s="5" t="s">
        <v>180</v>
      </c>
      <c r="B32" s="5" t="s">
        <v>151</v>
      </c>
      <c r="C32" s="5" t="s">
        <v>152</v>
      </c>
      <c r="D32" s="6" t="s">
        <v>181</v>
      </c>
      <c r="E32" s="6" t="s">
        <v>182</v>
      </c>
      <c r="F32" s="6" t="s">
        <v>183</v>
      </c>
      <c r="G32" s="6" t="s">
        <v>184</v>
      </c>
      <c r="H32" s="6" t="s">
        <v>163</v>
      </c>
      <c r="I32" s="5" t="s">
        <v>21</v>
      </c>
      <c r="J32" s="6" t="s">
        <v>22</v>
      </c>
    </row>
    <row r="33" customFormat="false" ht="23.85" hidden="false" customHeight="false" outlineLevel="0" collapsed="false">
      <c r="A33" s="5" t="s">
        <v>185</v>
      </c>
      <c r="B33" s="5" t="s">
        <v>151</v>
      </c>
      <c r="C33" s="5" t="s">
        <v>152</v>
      </c>
      <c r="D33" s="6" t="s">
        <v>186</v>
      </c>
      <c r="E33" s="6" t="s">
        <v>187</v>
      </c>
      <c r="F33" s="6" t="s">
        <v>188</v>
      </c>
      <c r="G33" s="6" t="s">
        <v>189</v>
      </c>
      <c r="H33" s="6" t="s">
        <v>163</v>
      </c>
      <c r="I33" s="5" t="s">
        <v>21</v>
      </c>
      <c r="J33" s="6" t="s">
        <v>22</v>
      </c>
    </row>
    <row r="34" customFormat="false" ht="23.85" hidden="false" customHeight="false" outlineLevel="0" collapsed="false">
      <c r="A34" s="5" t="s">
        <v>190</v>
      </c>
      <c r="B34" s="5" t="s">
        <v>151</v>
      </c>
      <c r="C34" s="5" t="s">
        <v>152</v>
      </c>
      <c r="D34" s="6" t="s">
        <v>191</v>
      </c>
      <c r="E34" s="6" t="s">
        <v>192</v>
      </c>
      <c r="F34" s="6" t="s">
        <v>193</v>
      </c>
      <c r="G34" s="6" t="s">
        <v>194</v>
      </c>
      <c r="H34" s="6" t="s">
        <v>195</v>
      </c>
      <c r="I34" s="5" t="s">
        <v>21</v>
      </c>
      <c r="J34" s="6" t="s">
        <v>22</v>
      </c>
    </row>
    <row r="35" customFormat="false" ht="23.85" hidden="false" customHeight="false" outlineLevel="0" collapsed="false">
      <c r="A35" s="5" t="s">
        <v>196</v>
      </c>
      <c r="B35" s="5" t="s">
        <v>151</v>
      </c>
      <c r="C35" s="5" t="s">
        <v>197</v>
      </c>
      <c r="D35" s="6" t="s">
        <v>198</v>
      </c>
      <c r="E35" s="6" t="s">
        <v>199</v>
      </c>
      <c r="F35" s="6" t="s">
        <v>200</v>
      </c>
      <c r="G35" s="6" t="s">
        <v>201</v>
      </c>
      <c r="H35" s="6" t="s">
        <v>202</v>
      </c>
      <c r="I35" s="5" t="s">
        <v>21</v>
      </c>
      <c r="J35" s="6" t="s">
        <v>22</v>
      </c>
    </row>
    <row r="36" customFormat="false" ht="23.85" hidden="false" customHeight="false" outlineLevel="0" collapsed="false">
      <c r="A36" s="5" t="s">
        <v>203</v>
      </c>
      <c r="B36" s="5" t="s">
        <v>151</v>
      </c>
      <c r="C36" s="5" t="s">
        <v>57</v>
      </c>
      <c r="D36" s="6" t="s">
        <v>204</v>
      </c>
      <c r="E36" s="6" t="s">
        <v>205</v>
      </c>
      <c r="F36" s="6" t="s">
        <v>206</v>
      </c>
      <c r="G36" s="6" t="s">
        <v>207</v>
      </c>
      <c r="H36" s="6" t="s">
        <v>208</v>
      </c>
      <c r="I36" s="5" t="s">
        <v>21</v>
      </c>
      <c r="J36" s="6" t="s">
        <v>22</v>
      </c>
    </row>
    <row r="37" customFormat="false" ht="23.85" hidden="false" customHeight="false" outlineLevel="0" collapsed="false">
      <c r="A37" s="5" t="s">
        <v>209</v>
      </c>
      <c r="B37" s="5" t="s">
        <v>210</v>
      </c>
      <c r="C37" s="5" t="s">
        <v>211</v>
      </c>
      <c r="D37" s="6" t="s">
        <v>212</v>
      </c>
      <c r="E37" s="6" t="s">
        <v>213</v>
      </c>
      <c r="F37" s="6" t="s">
        <v>214</v>
      </c>
      <c r="G37" s="6" t="s">
        <v>215</v>
      </c>
      <c r="H37" s="6" t="s">
        <v>216</v>
      </c>
      <c r="I37" s="5" t="s">
        <v>21</v>
      </c>
      <c r="J37" s="6" t="s">
        <v>22</v>
      </c>
    </row>
    <row r="38" customFormat="false" ht="23.85" hidden="false" customHeight="false" outlineLevel="0" collapsed="false">
      <c r="A38" s="5" t="s">
        <v>217</v>
      </c>
      <c r="B38" s="5" t="s">
        <v>210</v>
      </c>
      <c r="C38" s="5" t="s">
        <v>211</v>
      </c>
      <c r="D38" s="6" t="s">
        <v>218</v>
      </c>
      <c r="E38" s="6" t="s">
        <v>219</v>
      </c>
      <c r="F38" s="6" t="s">
        <v>220</v>
      </c>
      <c r="G38" s="6" t="s">
        <v>221</v>
      </c>
      <c r="H38" s="6" t="s">
        <v>222</v>
      </c>
      <c r="I38" s="5" t="s">
        <v>21</v>
      </c>
      <c r="J38" s="6" t="s">
        <v>22</v>
      </c>
    </row>
    <row r="39" customFormat="false" ht="35.05" hidden="false" customHeight="false" outlineLevel="0" collapsed="false">
      <c r="A39" s="5" t="s">
        <v>223</v>
      </c>
      <c r="B39" s="5" t="s">
        <v>210</v>
      </c>
      <c r="C39" s="5" t="s">
        <v>224</v>
      </c>
      <c r="D39" s="6" t="s">
        <v>225</v>
      </c>
      <c r="E39" s="6" t="s">
        <v>226</v>
      </c>
      <c r="F39" s="6" t="s">
        <v>227</v>
      </c>
      <c r="G39" s="6" t="s">
        <v>228</v>
      </c>
      <c r="H39" s="6" t="s">
        <v>229</v>
      </c>
      <c r="I39" s="5" t="s">
        <v>230</v>
      </c>
      <c r="J39" s="6" t="s">
        <v>231</v>
      </c>
    </row>
    <row r="40" customFormat="false" ht="23.85" hidden="false" customHeight="false" outlineLevel="0" collapsed="false">
      <c r="A40" s="5" t="s">
        <v>232</v>
      </c>
      <c r="B40" s="5" t="s">
        <v>210</v>
      </c>
      <c r="C40" s="5" t="s">
        <v>211</v>
      </c>
      <c r="D40" s="6" t="s">
        <v>233</v>
      </c>
      <c r="E40" s="6" t="s">
        <v>234</v>
      </c>
      <c r="F40" s="6" t="s">
        <v>235</v>
      </c>
      <c r="G40" s="6" t="s">
        <v>235</v>
      </c>
      <c r="H40" s="6" t="s">
        <v>236</v>
      </c>
      <c r="I40" s="5" t="s">
        <v>21</v>
      </c>
      <c r="J40" s="6" t="s">
        <v>22</v>
      </c>
    </row>
    <row r="41" customFormat="false" ht="23.85" hidden="false" customHeight="false" outlineLevel="0" collapsed="false">
      <c r="A41" s="5" t="s">
        <v>237</v>
      </c>
      <c r="B41" s="5" t="s">
        <v>210</v>
      </c>
      <c r="C41" s="5" t="s">
        <v>211</v>
      </c>
      <c r="D41" s="6" t="s">
        <v>238</v>
      </c>
      <c r="E41" s="6" t="s">
        <v>239</v>
      </c>
      <c r="F41" s="6" t="s">
        <v>240</v>
      </c>
      <c r="G41" s="6" t="s">
        <v>241</v>
      </c>
      <c r="H41" s="6" t="s">
        <v>242</v>
      </c>
      <c r="I41" s="5" t="s">
        <v>21</v>
      </c>
      <c r="J41" s="6" t="s">
        <v>22</v>
      </c>
    </row>
    <row r="42" customFormat="false" ht="23.85" hidden="false" customHeight="false" outlineLevel="0" collapsed="false">
      <c r="A42" s="5" t="s">
        <v>243</v>
      </c>
      <c r="B42" s="5" t="s">
        <v>244</v>
      </c>
      <c r="C42" s="5" t="s">
        <v>50</v>
      </c>
      <c r="D42" s="6" t="s">
        <v>245</v>
      </c>
      <c r="E42" s="6" t="s">
        <v>246</v>
      </c>
      <c r="F42" s="6" t="s">
        <v>247</v>
      </c>
      <c r="G42" s="6" t="s">
        <v>248</v>
      </c>
      <c r="H42" s="6" t="s">
        <v>249</v>
      </c>
      <c r="I42" s="5" t="s">
        <v>21</v>
      </c>
      <c r="J42" s="6" t="s">
        <v>22</v>
      </c>
    </row>
    <row r="43" customFormat="false" ht="23.85" hidden="false" customHeight="false" outlineLevel="0" collapsed="false">
      <c r="A43" s="5" t="s">
        <v>250</v>
      </c>
      <c r="B43" s="5" t="s">
        <v>244</v>
      </c>
      <c r="C43" s="5" t="s">
        <v>50</v>
      </c>
      <c r="D43" s="6" t="s">
        <v>251</v>
      </c>
      <c r="E43" s="6" t="s">
        <v>252</v>
      </c>
      <c r="F43" s="6" t="s">
        <v>253</v>
      </c>
      <c r="G43" s="6" t="s">
        <v>254</v>
      </c>
      <c r="H43" s="6" t="s">
        <v>255</v>
      </c>
      <c r="I43" s="5" t="s">
        <v>230</v>
      </c>
      <c r="J43" s="6" t="s">
        <v>231</v>
      </c>
    </row>
    <row r="44" customFormat="false" ht="35.05" hidden="false" customHeight="false" outlineLevel="0" collapsed="false">
      <c r="A44" s="5" t="s">
        <v>256</v>
      </c>
      <c r="B44" s="5" t="s">
        <v>257</v>
      </c>
      <c r="C44" s="5" t="s">
        <v>258</v>
      </c>
      <c r="D44" s="6" t="s">
        <v>259</v>
      </c>
      <c r="E44" s="6" t="s">
        <v>260</v>
      </c>
      <c r="F44" s="6" t="s">
        <v>261</v>
      </c>
      <c r="G44" s="7" t="s">
        <v>262</v>
      </c>
      <c r="H44" s="6" t="s">
        <v>263</v>
      </c>
      <c r="I44" s="5" t="s">
        <v>21</v>
      </c>
      <c r="J44" s="6" t="s">
        <v>22</v>
      </c>
    </row>
    <row r="45" customFormat="false" ht="35.05" hidden="false" customHeight="false" outlineLevel="0" collapsed="false">
      <c r="A45" s="5" t="s">
        <v>264</v>
      </c>
      <c r="B45" s="5" t="s">
        <v>257</v>
      </c>
      <c r="C45" s="5" t="s">
        <v>258</v>
      </c>
      <c r="D45" s="6" t="s">
        <v>265</v>
      </c>
      <c r="E45" s="6" t="s">
        <v>266</v>
      </c>
      <c r="F45" s="6" t="s">
        <v>267</v>
      </c>
      <c r="G45" s="7" t="s">
        <v>268</v>
      </c>
      <c r="H45" s="6" t="s">
        <v>269</v>
      </c>
      <c r="I45" s="5" t="s">
        <v>21</v>
      </c>
      <c r="J45" s="6" t="s">
        <v>22</v>
      </c>
    </row>
    <row r="46" customFormat="false" ht="35.05" hidden="false" customHeight="false" outlineLevel="0" collapsed="false">
      <c r="A46" s="5" t="s">
        <v>270</v>
      </c>
      <c r="B46" s="5" t="s">
        <v>257</v>
      </c>
      <c r="C46" s="5" t="s">
        <v>258</v>
      </c>
      <c r="D46" s="6" t="s">
        <v>271</v>
      </c>
      <c r="E46" s="6" t="s">
        <v>272</v>
      </c>
      <c r="F46" s="6" t="s">
        <v>273</v>
      </c>
      <c r="G46" s="6" t="s">
        <v>274</v>
      </c>
      <c r="H46" s="6" t="s">
        <v>275</v>
      </c>
      <c r="I46" s="5" t="s">
        <v>21</v>
      </c>
      <c r="J46" s="6" t="s">
        <v>22</v>
      </c>
    </row>
  </sheetData>
  <autoFilter ref="A5:J46"/>
  <mergeCells count="1">
    <mergeCell ref="A3:J3"/>
  </mergeCells>
  <conditionalFormatting sqref="I6:I46">
    <cfRule type="expression" priority="2" aboveAverage="0" equalAverage="0" bottom="0" percent="0" rank="0" text="" dxfId="6">
      <formula>$I6="Aprobado"</formula>
    </cfRule>
    <cfRule type="expression" priority="3" aboveAverage="0" equalAverage="0" bottom="0" percent="0" rank="0" text="" dxfId="7">
      <formula>$I6="Fallido"</formula>
    </cfRule>
    <cfRule type="expression" priority="4" aboveAverage="0" equalAverage="0" bottom="0" percent="0" rank="0" text="" dxfId="8">
      <formula>$I6="Pendiente"</formula>
    </cfRule>
    <cfRule type="expression" priority="5" aboveAverage="0" equalAverage="0" bottom="0" percent="0" rank="0" text="" dxfId="9">
      <formula>$I6="No aplica"</formula>
    </cfRule>
  </conditionalFormatting>
  <dataValidations count="1">
    <dataValidation allowBlank="false" errorStyle="stop" operator="between" showDropDown="false" showErrorMessage="false" showInputMessage="false" sqref="I6:I46" type="list">
      <formula1>"Aprobado,Fallido,Pendiente,No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5" min="2" style="0" width="12"/>
  </cols>
  <sheetData>
    <row r="1" customFormat="false" ht="17.35" hidden="false" customHeight="false" outlineLevel="0" collapsed="false">
      <c r="A1" s="1" t="s">
        <v>276</v>
      </c>
    </row>
    <row r="3" customFormat="false" ht="15" hidden="false" customHeight="false" outlineLevel="0" collapsed="false">
      <c r="A3" s="4" t="s">
        <v>11</v>
      </c>
      <c r="B3" s="4" t="s">
        <v>277</v>
      </c>
    </row>
    <row r="4" customFormat="false" ht="15" hidden="false" customHeight="false" outlineLevel="0" collapsed="false">
      <c r="A4" s="8" t="s">
        <v>21</v>
      </c>
      <c r="B4" s="8" t="n">
        <f aca="false">COUNTIF('Matriz de pruebas'!$I$6:$I$46,A4)</f>
        <v>39</v>
      </c>
    </row>
    <row r="5" customFormat="false" ht="15" hidden="false" customHeight="false" outlineLevel="0" collapsed="false">
      <c r="A5" s="8" t="s">
        <v>278</v>
      </c>
      <c r="B5" s="8" t="n">
        <f aca="false">COUNTIF('Matriz de pruebas'!$I$6:$I$46,A5)</f>
        <v>0</v>
      </c>
    </row>
    <row r="6" customFormat="false" ht="15" hidden="false" customHeight="false" outlineLevel="0" collapsed="false">
      <c r="A6" s="8" t="s">
        <v>279</v>
      </c>
      <c r="B6" s="8" t="n">
        <f aca="false">COUNTIF('Matriz de pruebas'!$I$6:$I$46,A6)</f>
        <v>0</v>
      </c>
    </row>
    <row r="7" customFormat="false" ht="15" hidden="false" customHeight="false" outlineLevel="0" collapsed="false">
      <c r="A7" s="8" t="s">
        <v>230</v>
      </c>
      <c r="B7" s="8" t="n">
        <f aca="false">COUNTIF('Matriz de pruebas'!$I$6:$I$46,A7)</f>
        <v>2</v>
      </c>
    </row>
    <row r="8" customFormat="false" ht="15" hidden="false" customHeight="false" outlineLevel="0" collapsed="false">
      <c r="A8" s="9" t="s">
        <v>280</v>
      </c>
      <c r="B8" s="9" t="n">
        <f aca="false">SUM(B4:B7)</f>
        <v>41</v>
      </c>
    </row>
    <row r="9" customFormat="false" ht="15" hidden="false" customHeight="false" outlineLevel="0" collapsed="false">
      <c r="A9" s="9" t="s">
        <v>281</v>
      </c>
      <c r="B9" s="9" t="n">
        <f aca="false">B8-B7</f>
        <v>39</v>
      </c>
    </row>
    <row r="10" customFormat="false" ht="15" hidden="false" customHeight="false" outlineLevel="0" collapsed="false">
      <c r="A10" s="9" t="s">
        <v>282</v>
      </c>
      <c r="B10" s="9" t="n">
        <f aca="false">B4+B5</f>
        <v>39</v>
      </c>
    </row>
    <row r="11" customFormat="false" ht="15" hidden="false" customHeight="false" outlineLevel="0" collapsed="false">
      <c r="A11" s="9" t="s">
        <v>283</v>
      </c>
      <c r="B11" s="10" t="n">
        <f aca="false">IF(B9=0,0,B10/B9)</f>
        <v>1</v>
      </c>
    </row>
    <row r="12" customFormat="false" ht="15" hidden="false" customHeight="false" outlineLevel="0" collapsed="false">
      <c r="A12" s="9" t="s">
        <v>284</v>
      </c>
      <c r="B12" s="10" t="n">
        <f aca="false">IF(B10=0,0,B4/B10)</f>
        <v>1</v>
      </c>
    </row>
    <row r="14" customFormat="false" ht="15" hidden="false" customHeight="false" outlineLevel="0" collapsed="false">
      <c r="A14" s="4" t="s">
        <v>285</v>
      </c>
      <c r="B14" s="4" t="s">
        <v>286</v>
      </c>
      <c r="C14" s="4" t="s">
        <v>287</v>
      </c>
      <c r="D14" s="4" t="s">
        <v>288</v>
      </c>
      <c r="E14" s="4" t="s">
        <v>289</v>
      </c>
    </row>
    <row r="15" customFormat="false" ht="15" hidden="false" customHeight="false" outlineLevel="0" collapsed="false">
      <c r="A15" s="8" t="s">
        <v>14</v>
      </c>
      <c r="B15" s="8" t="n">
        <f aca="false">COUNTIF('Matriz de pruebas'!$B$6:$B$46,A15)</f>
        <v>21</v>
      </c>
      <c r="C15" s="8" t="n">
        <f aca="false">COUNTIFS('Matriz de pruebas'!$B$6:$B$46,A15,'Matriz de pruebas'!$I$6:$I$46,"Aprobado")</f>
        <v>21</v>
      </c>
      <c r="D15" s="8" t="n">
        <f aca="false">COUNTIFS('Matriz de pruebas'!$B$6:$B$46,A15,'Matriz de pruebas'!$I$6:$I$46,"Fallido")</f>
        <v>0</v>
      </c>
      <c r="E15" s="8" t="n">
        <f aca="false">COUNTIFS('Matriz de pruebas'!$B$6:$B$46,A15,'Matriz de pruebas'!$I$6:$I$46,"Pendiente")</f>
        <v>0</v>
      </c>
    </row>
    <row r="16" customFormat="false" ht="15" hidden="false" customHeight="false" outlineLevel="0" collapsed="false">
      <c r="A16" s="8" t="s">
        <v>151</v>
      </c>
      <c r="B16" s="8" t="n">
        <f aca="false">COUNTIF('Matriz de pruebas'!$B$6:$B$46,A16)</f>
        <v>10</v>
      </c>
      <c r="C16" s="8" t="n">
        <f aca="false">COUNTIFS('Matriz de pruebas'!$B$6:$B$46,A16,'Matriz de pruebas'!$I$6:$I$46,"Aprobado")</f>
        <v>10</v>
      </c>
      <c r="D16" s="8" t="n">
        <f aca="false">COUNTIFS('Matriz de pruebas'!$B$6:$B$46,A16,'Matriz de pruebas'!$I$6:$I$46,"Fallido")</f>
        <v>0</v>
      </c>
      <c r="E16" s="8" t="n">
        <f aca="false">COUNTIFS('Matriz de pruebas'!$B$6:$B$46,A16,'Matriz de pruebas'!$I$6:$I$46,"Pendiente")</f>
        <v>0</v>
      </c>
    </row>
    <row r="17" customFormat="false" ht="15" hidden="false" customHeight="false" outlineLevel="0" collapsed="false">
      <c r="A17" s="8" t="s">
        <v>210</v>
      </c>
      <c r="B17" s="8" t="n">
        <f aca="false">COUNTIF('Matriz de pruebas'!$B$6:$B$46,A17)</f>
        <v>5</v>
      </c>
      <c r="C17" s="8" t="n">
        <f aca="false">COUNTIFS('Matriz de pruebas'!$B$6:$B$46,A17,'Matriz de pruebas'!$I$6:$I$46,"Aprobado")</f>
        <v>4</v>
      </c>
      <c r="D17" s="8" t="n">
        <f aca="false">COUNTIFS('Matriz de pruebas'!$B$6:$B$46,A17,'Matriz de pruebas'!$I$6:$I$46,"Fallido")</f>
        <v>0</v>
      </c>
      <c r="E17" s="8" t="n">
        <f aca="false">COUNTIFS('Matriz de pruebas'!$B$6:$B$46,A17,'Matriz de pruebas'!$I$6:$I$46,"Pendiente")</f>
        <v>0</v>
      </c>
    </row>
    <row r="18" customFormat="false" ht="15" hidden="false" customHeight="false" outlineLevel="0" collapsed="false">
      <c r="A18" s="8" t="s">
        <v>244</v>
      </c>
      <c r="B18" s="8" t="n">
        <f aca="false">COUNTIF('Matriz de pruebas'!$B$6:$B$46,A18)</f>
        <v>2</v>
      </c>
      <c r="C18" s="8" t="n">
        <f aca="false">COUNTIFS('Matriz de pruebas'!$B$6:$B$46,A18,'Matriz de pruebas'!$I$6:$I$46,"Aprobado")</f>
        <v>1</v>
      </c>
      <c r="D18" s="8" t="n">
        <f aca="false">COUNTIFS('Matriz de pruebas'!$B$6:$B$46,A18,'Matriz de pruebas'!$I$6:$I$46,"Fallido")</f>
        <v>0</v>
      </c>
      <c r="E18" s="8" t="n">
        <f aca="false">COUNTIFS('Matriz de pruebas'!$B$6:$B$46,A18,'Matriz de pruebas'!$I$6:$I$46,"Pendiente")</f>
        <v>0</v>
      </c>
    </row>
    <row r="19" customFormat="false" ht="15" hidden="false" customHeight="false" outlineLevel="0" collapsed="false">
      <c r="A19" s="8" t="s">
        <v>257</v>
      </c>
      <c r="B19" s="8" t="n">
        <f aca="false">COUNTIF('Matriz de pruebas'!$B$6:$B$46,A19)</f>
        <v>3</v>
      </c>
      <c r="C19" s="8" t="n">
        <f aca="false">COUNTIFS('Matriz de pruebas'!$B$6:$B$46,A19,'Matriz de pruebas'!$I$6:$I$46,"Aprobado")</f>
        <v>3</v>
      </c>
      <c r="D19" s="8" t="n">
        <f aca="false">COUNTIFS('Matriz de pruebas'!$B$6:$B$46,A19,'Matriz de pruebas'!$I$6:$I$46,"Fallido")</f>
        <v>0</v>
      </c>
      <c r="E19" s="8" t="n">
        <f aca="false">COUNTIFS('Matriz de pruebas'!$B$6:$B$46,A19,'Matriz de pruebas'!$I$6:$I$46,"Pendiente")</f>
        <v>0</v>
      </c>
    </row>
    <row r="21" customFormat="false" ht="51.75" hidden="false" customHeight="true" outlineLevel="0" collapsed="false">
      <c r="A21" s="3" t="s">
        <v>290</v>
      </c>
      <c r="B21" s="3"/>
      <c r="C21" s="3"/>
      <c r="D21" s="3"/>
      <c r="E21" s="3"/>
    </row>
  </sheetData>
  <mergeCells count="1">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60"/>
    <col collapsed="false" customWidth="true" hidden="false" outlineLevel="0" max="4" min="4" style="0" width="24"/>
    <col collapsed="false" customWidth="true" hidden="false" outlineLevel="0" max="5" min="5" style="0" width="14"/>
    <col collapsed="false" customWidth="true" hidden="false" outlineLevel="0" max="6" min="6" style="0" width="12"/>
  </cols>
  <sheetData>
    <row r="1" customFormat="false" ht="17.35" hidden="false" customHeight="false" outlineLevel="0" collapsed="false">
      <c r="A1" s="1" t="s">
        <v>291</v>
      </c>
    </row>
    <row r="3" customFormat="false" ht="15" hidden="false" customHeight="false" outlineLevel="0" collapsed="false">
      <c r="A3" s="4" t="s">
        <v>3</v>
      </c>
      <c r="B3" s="4" t="s">
        <v>5</v>
      </c>
      <c r="C3" s="4" t="s">
        <v>292</v>
      </c>
      <c r="D3" s="4" t="s">
        <v>293</v>
      </c>
      <c r="E3" s="4" t="s">
        <v>294</v>
      </c>
      <c r="F3" s="4" t="s">
        <v>287</v>
      </c>
    </row>
    <row r="4" customFormat="false" ht="15" hidden="false" customHeight="false" outlineLevel="0" collapsed="false">
      <c r="A4" s="5" t="s">
        <v>295</v>
      </c>
      <c r="B4" s="6" t="s">
        <v>296</v>
      </c>
      <c r="C4" s="6" t="s">
        <v>297</v>
      </c>
      <c r="D4" s="5" t="s">
        <v>298</v>
      </c>
      <c r="E4" s="5" t="n">
        <f aca="false">COUNTIF('Matriz de pruebas'!$C$6:$C$46,"*"&amp;A4&amp;"*")</f>
        <v>1</v>
      </c>
      <c r="F4" s="5" t="n">
        <f aca="false">COUNTIFS('Matriz de pruebas'!$C$6:$C$46,"*"&amp;A4&amp;"*",'Matriz de pruebas'!$I$6:$I$46,"Aprobado")</f>
        <v>1</v>
      </c>
    </row>
    <row r="5" customFormat="false" ht="23.85" hidden="false" customHeight="false" outlineLevel="0" collapsed="false">
      <c r="A5" s="5" t="s">
        <v>299</v>
      </c>
      <c r="B5" s="6" t="s">
        <v>300</v>
      </c>
      <c r="C5" s="6" t="s">
        <v>301</v>
      </c>
      <c r="D5" s="5" t="s">
        <v>298</v>
      </c>
      <c r="E5" s="5" t="n">
        <f aca="false">COUNTIF('Matriz de pruebas'!$C$6:$C$46,"*"&amp;A5&amp;"*")</f>
        <v>4</v>
      </c>
      <c r="F5" s="5" t="n">
        <f aca="false">COUNTIFS('Matriz de pruebas'!$C$6:$C$46,"*"&amp;A5&amp;"*",'Matriz de pruebas'!$I$6:$I$46,"Aprobado")</f>
        <v>4</v>
      </c>
    </row>
    <row r="6" customFormat="false" ht="23.85" hidden="false" customHeight="false" outlineLevel="0" collapsed="false">
      <c r="A6" s="5" t="s">
        <v>152</v>
      </c>
      <c r="B6" s="6" t="s">
        <v>302</v>
      </c>
      <c r="C6" s="6" t="s">
        <v>303</v>
      </c>
      <c r="D6" s="5" t="s">
        <v>298</v>
      </c>
      <c r="E6" s="5" t="n">
        <f aca="false">COUNTIF('Matriz de pruebas'!$C$6:$C$46,"*"&amp;A6&amp;"*")</f>
        <v>9</v>
      </c>
      <c r="F6" s="5" t="n">
        <f aca="false">COUNTIFS('Matriz de pruebas'!$C$6:$C$46,"*"&amp;A6&amp;"*",'Matriz de pruebas'!$I$6:$I$46,"Aprobado")</f>
        <v>9</v>
      </c>
    </row>
    <row r="7" customFormat="false" ht="15" hidden="false" customHeight="false" outlineLevel="0" collapsed="false">
      <c r="A7" s="5" t="s">
        <v>57</v>
      </c>
      <c r="B7" s="6" t="s">
        <v>304</v>
      </c>
      <c r="C7" s="6" t="s">
        <v>305</v>
      </c>
      <c r="D7" s="5" t="s">
        <v>298</v>
      </c>
      <c r="E7" s="5" t="n">
        <f aca="false">COUNTIF('Matriz de pruebas'!$C$6:$C$46,"*"&amp;A7&amp;"*")</f>
        <v>5</v>
      </c>
      <c r="F7" s="5" t="n">
        <f aca="false">COUNTIFS('Matriz de pruebas'!$C$6:$C$46,"*"&amp;A7&amp;"*",'Matriz de pruebas'!$I$6:$I$46,"Aprobado")</f>
        <v>5</v>
      </c>
    </row>
    <row r="8" customFormat="false" ht="23.85" hidden="false" customHeight="false" outlineLevel="0" collapsed="false">
      <c r="A8" s="5" t="s">
        <v>88</v>
      </c>
      <c r="B8" s="6" t="s">
        <v>306</v>
      </c>
      <c r="C8" s="6" t="s">
        <v>307</v>
      </c>
      <c r="D8" s="5" t="s">
        <v>298</v>
      </c>
      <c r="E8" s="5" t="n">
        <f aca="false">COUNTIF('Matriz de pruebas'!$C$6:$C$46,"*"&amp;A8&amp;"*")</f>
        <v>5</v>
      </c>
      <c r="F8" s="5" t="n">
        <f aca="false">COUNTIFS('Matriz de pruebas'!$C$6:$C$46,"*"&amp;A8&amp;"*",'Matriz de pruebas'!$I$6:$I$46,"Aprobado")</f>
        <v>5</v>
      </c>
    </row>
    <row r="9" customFormat="false" ht="23.85" hidden="false" customHeight="false" outlineLevel="0" collapsed="false">
      <c r="A9" s="5" t="s">
        <v>101</v>
      </c>
      <c r="B9" s="6" t="s">
        <v>102</v>
      </c>
      <c r="C9" s="6" t="s">
        <v>308</v>
      </c>
      <c r="D9" s="5" t="s">
        <v>298</v>
      </c>
      <c r="E9" s="5" t="n">
        <f aca="false">COUNTIF('Matriz de pruebas'!$C$6:$C$46,"*"&amp;A9&amp;"*")</f>
        <v>2</v>
      </c>
      <c r="F9" s="5" t="n">
        <f aca="false">COUNTIFS('Matriz de pruebas'!$C$6:$C$46,"*"&amp;A9&amp;"*",'Matriz de pruebas'!$I$6:$I$46,"Aprobado")</f>
        <v>2</v>
      </c>
    </row>
    <row r="10" customFormat="false" ht="15" hidden="false" customHeight="false" outlineLevel="0" collapsed="false">
      <c r="A10" s="5" t="s">
        <v>114</v>
      </c>
      <c r="B10" s="6" t="s">
        <v>309</v>
      </c>
      <c r="C10" s="6" t="s">
        <v>310</v>
      </c>
      <c r="D10" s="5" t="s">
        <v>298</v>
      </c>
      <c r="E10" s="5" t="n">
        <f aca="false">COUNTIF('Matriz de pruebas'!$C$6:$C$46,"*"&amp;A10&amp;"*")</f>
        <v>5</v>
      </c>
      <c r="F10" s="5" t="n">
        <f aca="false">COUNTIFS('Matriz de pruebas'!$C$6:$C$46,"*"&amp;A10&amp;"*",'Matriz de pruebas'!$I$6:$I$46,"Aprobado")</f>
        <v>5</v>
      </c>
    </row>
    <row r="11" customFormat="false" ht="15" hidden="false" customHeight="false" outlineLevel="0" collapsed="false">
      <c r="A11" s="5" t="s">
        <v>43</v>
      </c>
      <c r="B11" s="6" t="s">
        <v>311</v>
      </c>
      <c r="C11" s="6" t="s">
        <v>312</v>
      </c>
      <c r="D11" s="5" t="s">
        <v>298</v>
      </c>
      <c r="E11" s="5" t="n">
        <f aca="false">COUNTIF('Matriz de pruebas'!$C$6:$C$46,"*"&amp;A11&amp;"*")</f>
        <v>5</v>
      </c>
      <c r="F11" s="5" t="n">
        <f aca="false">COUNTIFS('Matriz de pruebas'!$C$6:$C$46,"*"&amp;A11&amp;"*",'Matriz de pruebas'!$I$6:$I$46,"Aprobado")</f>
        <v>5</v>
      </c>
    </row>
    <row r="12" customFormat="false" ht="15" hidden="false" customHeight="false" outlineLevel="0" collapsed="false">
      <c r="A12" s="5" t="s">
        <v>224</v>
      </c>
      <c r="B12" s="6" t="s">
        <v>313</v>
      </c>
      <c r="C12" s="6" t="s">
        <v>314</v>
      </c>
      <c r="D12" s="5" t="s">
        <v>315</v>
      </c>
      <c r="E12" s="5" t="n">
        <f aca="false">COUNTIF('Matriz de pruebas'!$C$6:$C$46,"*"&amp;A12&amp;"*")</f>
        <v>1</v>
      </c>
      <c r="F12" s="5" t="n">
        <f aca="false">COUNTIFS('Matriz de pruebas'!$C$6:$C$46,"*"&amp;A12&amp;"*",'Matriz de pruebas'!$I$6:$I$46,"Aprobado")</f>
        <v>0</v>
      </c>
    </row>
    <row r="13" customFormat="false" ht="15" hidden="false" customHeight="false" outlineLevel="0" collapsed="false">
      <c r="A13" s="5" t="s">
        <v>316</v>
      </c>
      <c r="B13" s="6" t="s">
        <v>317</v>
      </c>
      <c r="C13" s="6" t="s">
        <v>314</v>
      </c>
      <c r="D13" s="5" t="s">
        <v>315</v>
      </c>
      <c r="E13" s="5" t="n">
        <f aca="false">COUNTIF('Matriz de pruebas'!$C$6:$C$46,"*"&amp;A13&amp;"*")</f>
        <v>0</v>
      </c>
      <c r="F13" s="5" t="n">
        <f aca="false">COUNTIFS('Matriz de pruebas'!$C$6:$C$46,"*"&amp;A13&amp;"*",'Matriz de pruebas'!$I$6:$I$46,"Aprobado")</f>
        <v>0</v>
      </c>
    </row>
    <row r="14" customFormat="false" ht="15" hidden="false" customHeight="false" outlineLevel="0" collapsed="false">
      <c r="A14" s="5" t="s">
        <v>50</v>
      </c>
      <c r="B14" s="6" t="s">
        <v>318</v>
      </c>
      <c r="C14" s="6" t="s">
        <v>319</v>
      </c>
      <c r="D14" s="5" t="s">
        <v>298</v>
      </c>
      <c r="E14" s="5" t="n">
        <f aca="false">COUNTIF('Matriz de pruebas'!$C$6:$C$46,"*"&amp;A14&amp;"*")</f>
        <v>3</v>
      </c>
      <c r="F14" s="5" t="n">
        <f aca="false">COUNTIFS('Matriz de pruebas'!$C$6:$C$46,"*"&amp;A14&amp;"*",'Matriz de pruebas'!$I$6:$I$46,"Aprobado")</f>
        <v>2</v>
      </c>
    </row>
    <row r="15" customFormat="false" ht="23.85" hidden="false" customHeight="false" outlineLevel="0" collapsed="false">
      <c r="A15" s="5" t="s">
        <v>258</v>
      </c>
      <c r="B15" s="6" t="s">
        <v>320</v>
      </c>
      <c r="C15" s="6" t="s">
        <v>321</v>
      </c>
      <c r="D15" s="5" t="s">
        <v>322</v>
      </c>
      <c r="E15" s="5" t="n">
        <f aca="false">COUNTIF('Matriz de pruebas'!$C$6:$C$46,"*"&amp;A15&amp;"*")</f>
        <v>4</v>
      </c>
      <c r="F15" s="5" t="n">
        <f aca="false">COUNTIFS('Matriz de pruebas'!$C$6:$C$46,"*"&amp;A15&amp;"*",'Matriz de pruebas'!$I$6:$I$46,"Aprobado")</f>
        <v>4</v>
      </c>
    </row>
    <row r="16" customFormat="false" ht="15" hidden="false" customHeight="false" outlineLevel="0" collapsed="false">
      <c r="A16" s="5" t="s">
        <v>211</v>
      </c>
      <c r="B16" s="6" t="s">
        <v>323</v>
      </c>
      <c r="C16" s="6" t="s">
        <v>324</v>
      </c>
      <c r="D16" s="5" t="s">
        <v>322</v>
      </c>
      <c r="E16" s="5" t="n">
        <f aca="false">COUNTIF('Matriz de pruebas'!$C$6:$C$46,"*"&amp;A16&amp;"*")</f>
        <v>4</v>
      </c>
      <c r="F16" s="5" t="n">
        <f aca="false">COUNTIFS('Matriz de pruebas'!$C$6:$C$46,"*"&amp;A16&amp;"*",'Matriz de pruebas'!$I$6:$I$46,"Aprobado")</f>
        <v>4</v>
      </c>
    </row>
    <row r="17" customFormat="false" ht="15" hidden="false" customHeight="false" outlineLevel="0" collapsed="false">
      <c r="A17" s="5" t="s">
        <v>144</v>
      </c>
      <c r="B17" s="6" t="s">
        <v>325</v>
      </c>
      <c r="C17" s="6" t="s">
        <v>326</v>
      </c>
      <c r="D17" s="5" t="s">
        <v>327</v>
      </c>
      <c r="E17" s="5" t="n">
        <f aca="false">COUNTIF('Matriz de pruebas'!$C$6:$C$46,"*"&amp;A17&amp;"*")</f>
        <v>1</v>
      </c>
      <c r="F17" s="5" t="n">
        <f aca="false">COUNTIFS('Matriz de pruebas'!$C$6:$C$46,"*"&amp;A17&amp;"*",'Matriz de pruebas'!$I$6:$I$46,"Aprobado")</f>
        <v>1</v>
      </c>
    </row>
    <row r="19" customFormat="false" ht="15" hidden="false" customHeight="false" outlineLevel="0" collapsed="false">
      <c r="A19" s="2"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32"/>
    <col collapsed="false" customWidth="true" hidden="false" outlineLevel="0" max="4" min="4" style="0" width="18"/>
    <col collapsed="false" customWidth="true" hidden="false" outlineLevel="0" max="5" min="5" style="0" width="52"/>
    <col collapsed="false" customWidth="true" hidden="false" outlineLevel="0" max="6" min="6" style="0" width="30"/>
  </cols>
  <sheetData>
    <row r="1" customFormat="false" ht="17.35" hidden="false" customHeight="false" outlineLevel="0" collapsed="false">
      <c r="A1" s="1" t="s">
        <v>329</v>
      </c>
    </row>
    <row r="3" customFormat="false" ht="15" hidden="false" customHeight="false" outlineLevel="0" collapsed="false">
      <c r="A3" s="4" t="s">
        <v>3</v>
      </c>
      <c r="B3" s="4" t="s">
        <v>330</v>
      </c>
      <c r="C3" s="4" t="s">
        <v>331</v>
      </c>
      <c r="D3" s="4" t="s">
        <v>332</v>
      </c>
      <c r="E3" s="4" t="s">
        <v>333</v>
      </c>
      <c r="F3" s="4" t="s">
        <v>11</v>
      </c>
    </row>
    <row r="4" customFormat="false" ht="23.85" hidden="false" customHeight="false" outlineLevel="0" collapsed="false">
      <c r="A4" s="5" t="s">
        <v>334</v>
      </c>
      <c r="B4" s="6" t="s">
        <v>335</v>
      </c>
      <c r="C4" s="6" t="s">
        <v>336</v>
      </c>
      <c r="D4" s="5" t="s">
        <v>337</v>
      </c>
      <c r="E4" s="6" t="s">
        <v>338</v>
      </c>
      <c r="F4" s="6" t="s">
        <v>339</v>
      </c>
    </row>
    <row r="5" customFormat="false" ht="23.85" hidden="false" customHeight="false" outlineLevel="0" collapsed="false">
      <c r="A5" s="5" t="s">
        <v>340</v>
      </c>
      <c r="B5" s="6" t="s">
        <v>341</v>
      </c>
      <c r="C5" s="6" t="s">
        <v>342</v>
      </c>
      <c r="D5" s="5" t="s">
        <v>343</v>
      </c>
      <c r="E5" s="6" t="s">
        <v>344</v>
      </c>
      <c r="F5" s="6" t="s">
        <v>279</v>
      </c>
    </row>
    <row r="6" customFormat="false" ht="23.85" hidden="false" customHeight="false" outlineLevel="0" collapsed="false">
      <c r="A6" s="5" t="s">
        <v>345</v>
      </c>
      <c r="B6" s="6" t="s">
        <v>346</v>
      </c>
      <c r="C6" s="6" t="s">
        <v>347</v>
      </c>
      <c r="D6" s="5" t="s">
        <v>348</v>
      </c>
      <c r="E6" s="6" t="s">
        <v>349</v>
      </c>
      <c r="F6" s="6" t="s">
        <v>279</v>
      </c>
    </row>
    <row r="7" customFormat="false" ht="23.85" hidden="false" customHeight="false" outlineLevel="0" collapsed="false">
      <c r="A7" s="5" t="s">
        <v>350</v>
      </c>
      <c r="B7" s="6" t="s">
        <v>351</v>
      </c>
      <c r="C7" s="6" t="s">
        <v>347</v>
      </c>
      <c r="D7" s="5" t="s">
        <v>352</v>
      </c>
      <c r="E7" s="6" t="s">
        <v>353</v>
      </c>
      <c r="F7" s="6" t="s">
        <v>279</v>
      </c>
    </row>
    <row r="8" customFormat="false" ht="23.85" hidden="false" customHeight="false" outlineLevel="0" collapsed="false">
      <c r="A8" s="5" t="s">
        <v>354</v>
      </c>
      <c r="B8" s="6" t="s">
        <v>355</v>
      </c>
      <c r="C8" s="6" t="s">
        <v>356</v>
      </c>
      <c r="D8" s="5" t="s">
        <v>357</v>
      </c>
      <c r="E8" s="6" t="s">
        <v>358</v>
      </c>
      <c r="F8" s="6" t="s">
        <v>359</v>
      </c>
    </row>
    <row r="9" customFormat="false" ht="23.85" hidden="false" customHeight="false" outlineLevel="0" collapsed="false">
      <c r="A9" s="5" t="s">
        <v>360</v>
      </c>
      <c r="B9" s="6" t="s">
        <v>361</v>
      </c>
      <c r="C9" s="6" t="s">
        <v>362</v>
      </c>
      <c r="D9" s="5" t="s">
        <v>363</v>
      </c>
      <c r="E9" s="6" t="s">
        <v>364</v>
      </c>
      <c r="F9" s="6" t="s">
        <v>279</v>
      </c>
    </row>
    <row r="10" customFormat="false" ht="23.85" hidden="false" customHeight="false" outlineLevel="0" collapsed="false">
      <c r="A10" s="5" t="s">
        <v>365</v>
      </c>
      <c r="B10" s="6" t="s">
        <v>366</v>
      </c>
      <c r="C10" s="6" t="s">
        <v>362</v>
      </c>
      <c r="D10" s="5" t="s">
        <v>363</v>
      </c>
      <c r="E10" s="6" t="s">
        <v>367</v>
      </c>
      <c r="F10" s="6" t="s">
        <v>279</v>
      </c>
    </row>
    <row r="11" customFormat="false" ht="15" hidden="false" customHeight="false" outlineLevel="0" collapsed="false">
      <c r="A11" s="5" t="s">
        <v>368</v>
      </c>
      <c r="B11" s="6" t="s">
        <v>369</v>
      </c>
      <c r="C11" s="6" t="s">
        <v>370</v>
      </c>
      <c r="D11" s="5" t="s">
        <v>337</v>
      </c>
      <c r="E11" s="6" t="s">
        <v>371</v>
      </c>
      <c r="F11" s="6"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2026-10-12T04:44:22Z</dcterms:created>
  <dc:creator>openpyxl</dc:creator>
  <dc:description/>
  <dc:language>en-US</dc:language>
  <cp:lastModifiedBy/>
  <dcterms:modified xsi:type="dcterms:W3CDTF">2026-10-12T04:44:22Z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